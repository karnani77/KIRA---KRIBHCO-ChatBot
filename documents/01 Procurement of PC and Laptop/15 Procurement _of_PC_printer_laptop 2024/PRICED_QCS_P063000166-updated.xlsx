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01_Procurement\01 Enquiry_mpr\01 Procurement of PC and Laptop\Procurement _of_PC_printer_laptop 2024\"/>
    </mc:Choice>
  </mc:AlternateContent>
  <xr:revisionPtr revIDLastSave="0" documentId="13_ncr:1_{612B1A62-0B83-4668-9BA8-69BACAFC181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AEP" sheetId="1" r:id="rId1"/>
  </sheets>
  <definedNames>
    <definedName name="_xlnm.Print_Area" localSheetId="0">HAEP!$A$1:$L$31</definedName>
    <definedName name="_xlnm.Print_Titles" localSheetId="0">HAEP!$A:$D,HAEP!$1:$3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7" i="1" l="1"/>
  <c r="H6" i="1"/>
  <c r="H5" i="1"/>
  <c r="H8" i="1" l="1"/>
  <c r="H9" i="1" s="1"/>
  <c r="L7" i="1"/>
  <c r="L6" i="1"/>
  <c r="L5" i="1"/>
  <c r="L4" i="1"/>
  <c r="H10" i="1" l="1"/>
  <c r="H12" i="1" s="1"/>
  <c r="L8" i="1"/>
  <c r="J5" i="1"/>
  <c r="J7" i="1"/>
  <c r="H11" i="1" l="1"/>
  <c r="H13" i="1" s="1"/>
  <c r="H16" i="1" s="1"/>
  <c r="L9" i="1"/>
  <c r="L10" i="1" s="1"/>
  <c r="F5" i="1"/>
  <c r="F6" i="1"/>
  <c r="J6" i="1"/>
  <c r="F7" i="1"/>
  <c r="H14" i="1" l="1"/>
  <c r="H15" i="1"/>
  <c r="L12" i="1"/>
  <c r="L11" i="1"/>
  <c r="F4" i="1"/>
  <c r="F8" i="1" s="1"/>
  <c r="H17" i="1" l="1"/>
  <c r="L13" i="1"/>
  <c r="L14" i="1" s="1"/>
  <c r="J8" i="1"/>
  <c r="L16" i="1" l="1"/>
  <c r="L15" i="1"/>
  <c r="J9" i="1"/>
  <c r="J10" i="1" s="1"/>
  <c r="L17" i="1" l="1"/>
  <c r="J11" i="1"/>
  <c r="J12" i="1"/>
  <c r="F9" i="1"/>
  <c r="F10" i="1" s="1"/>
  <c r="J13" i="1" l="1"/>
  <c r="J14" i="1" s="1"/>
  <c r="F12" i="1"/>
  <c r="F11" i="1"/>
  <c r="J16" i="1" l="1"/>
  <c r="J15" i="1"/>
  <c r="F13" i="1"/>
  <c r="F16" i="1" l="1"/>
  <c r="F15" i="1"/>
  <c r="F14" i="1"/>
  <c r="J17" i="1"/>
  <c r="F17" i="1" l="1"/>
</calcChain>
</file>

<file path=xl/sharedStrings.xml><?xml version="1.0" encoding="utf-8"?>
<sst xmlns="http://schemas.openxmlformats.org/spreadsheetml/2006/main" count="105" uniqueCount="53">
  <si>
    <t>SN</t>
  </si>
  <si>
    <t>TOTAL</t>
  </si>
  <si>
    <t>SUBTOTAL</t>
  </si>
  <si>
    <t>FOR KRIBHCO</t>
  </si>
  <si>
    <t>P &amp; F CHARGES (in %)</t>
  </si>
  <si>
    <t>FREIGHT (in %)</t>
  </si>
  <si>
    <t>INSURANCE (in %)</t>
  </si>
  <si>
    <t>TOTAL WITH TAX</t>
  </si>
  <si>
    <t>CGST @9% EXTRA</t>
  </si>
  <si>
    <t>SGST @9% EXTRA</t>
  </si>
  <si>
    <t>IGST @18% EXTRA</t>
  </si>
  <si>
    <t>Item Code</t>
  </si>
  <si>
    <t>Descritpion</t>
  </si>
  <si>
    <t>Qty (Nos)</t>
  </si>
  <si>
    <t>Unit Rate (Rs.)</t>
  </si>
  <si>
    <t>Amount (Rs.)</t>
  </si>
  <si>
    <t>UnPriced SOR / Comml summary @ page no</t>
  </si>
  <si>
    <t>37/38</t>
  </si>
  <si>
    <t>48-49</t>
  </si>
  <si>
    <t>60-61</t>
  </si>
  <si>
    <t>79-80</t>
  </si>
  <si>
    <t>Price Basis</t>
  </si>
  <si>
    <t>P&amp;F Charges</t>
  </si>
  <si>
    <t>Inclusive</t>
  </si>
  <si>
    <t>GST Extra</t>
  </si>
  <si>
    <t>CGST' &amp; SGST @ 9% Each</t>
  </si>
  <si>
    <t>Transportation upto Kribhco</t>
  </si>
  <si>
    <t>Insurance</t>
  </si>
  <si>
    <t>Delivery Period: (6-8 weeks for supply, 08 weeks for Installation)</t>
  </si>
  <si>
    <t>Yes</t>
  </si>
  <si>
    <t>Payment Terms : 30 days</t>
  </si>
  <si>
    <t>Onsite Comprehensive Warranty as per specs</t>
  </si>
  <si>
    <t>Part order acceptance</t>
  </si>
  <si>
    <t>Validity</t>
  </si>
  <si>
    <t>22-07.2024</t>
  </si>
  <si>
    <t>Firmness of Prices till complete execution of order</t>
  </si>
  <si>
    <t>Acceptance of GTC</t>
  </si>
  <si>
    <t>HSN Code for all items</t>
  </si>
  <si>
    <t>PRICED QCS -  P063000166 -  Supply, Installation &amp; Configuration for Desktop PCs, MS Office, Printers &amp; Laptop</t>
  </si>
  <si>
    <t>LAPTOP/ NOTEBOOK PC AS PER ATTACHED SPECS.
Supply, Installation, Configuration and Support for Business Laptop HP/DELL/Lenovo - Corei5 - 12th Generation - RAM - 16GB; SSD 512GB NVMe; 14" FHD; OS - Win.11Pro</t>
  </si>
  <si>
    <t>LASER JET PRINTER AS PER SPECIFICATION
HP MAKE LASERJET MODEL P1108 PRINTER</t>
  </si>
  <si>
    <t>MICROSOFT OFFICE STANDARD EDITION,
MOLP WITHOUT MEDIA
Microsoft Office Standard Edition # LTSC 2021 or higher 32/64 bit
Tenant ID - admin@kribhcosurat.onmicrosoft.com</t>
  </si>
  <si>
    <t>PC NODES AS PER SPECIFICATION ATTECHED.
Business PC (HP/ DELL/ LENOVO/ ACER)
Intel® Core# i5 - 12th Generation or above 64-bit Processor 8GB (1 x 8GB) DDR4 Memory expandable to minimum 16 GB
Primary HDD - SSD Min 512GB M.2 NVME
Secondary HDD - SSD Min 512GB</t>
  </si>
  <si>
    <t>M/s. Jupitor Automation</t>
  </si>
  <si>
    <t>M/s. Creative Infotech</t>
  </si>
  <si>
    <t>M/s. Computer Shop</t>
  </si>
  <si>
    <t>M/s. TM Solutech</t>
  </si>
  <si>
    <t>Regretted</t>
  </si>
  <si>
    <t>TAXABLE  VALUE</t>
  </si>
  <si>
    <t>22.10.2022</t>
  </si>
  <si>
    <t>21.08.2023</t>
  </si>
  <si>
    <t>Last Procurement</t>
  </si>
  <si>
    <t>PO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</si>
</sst>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u/>
      <sz val="10"/>
      <color indexed="12"/>
      <name val="Arial"/>
      <family val="2"/>
    </font>
    <font>
      <sz val="10"/>
      <color theme="1"/>
      <name val="Cambria"/>
      <family val="1"/>
    </font>
    <font>
      <b/>
      <sz val="12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8"/>
      <color rgb="FFFF000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43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3" fontId="9" fillId="0" borderId="1" xfId="1" applyFont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43" fontId="5" fillId="0" borderId="1" xfId="1" applyFont="1" applyFill="1" applyBorder="1" applyAlignment="1">
      <alignment vertical="center"/>
    </xf>
    <xf numFmtId="9" fontId="4" fillId="0" borderId="1" xfId="0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4" fontId="15" fillId="0" borderId="1" xfId="0" quotePrefix="1" applyNumberFormat="1" applyFont="1" applyBorder="1" applyAlignment="1">
      <alignment horizontal="center" vertical="center" wrapText="1"/>
    </xf>
    <xf numFmtId="14" fontId="12" fillId="0" borderId="1" xfId="0" quotePrefix="1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43" fontId="16" fillId="0" borderId="2" xfId="1" applyFont="1" applyBorder="1" applyAlignment="1">
      <alignment horizontal="center" vertical="center" wrapText="1"/>
    </xf>
    <xf numFmtId="43" fontId="16" fillId="0" borderId="3" xfId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Hyperlink 2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</cellStyles>
  <dxfs count="1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tabSelected="1" zoomScaleNormal="100" zoomScaleSheetLayoutView="115" workbookViewId="0">
      <selection activeCell="I5" sqref="I5"/>
    </sheetView>
  </sheetViews>
  <sheetFormatPr defaultRowHeight="12.75" x14ac:dyDescent="0.25"/>
  <cols>
    <col min="1" max="1" width="3.42578125" style="19" bestFit="1" customWidth="1"/>
    <col min="2" max="2" width="12.42578125" style="19" bestFit="1" customWidth="1"/>
    <col min="3" max="3" width="43.28515625" style="27" customWidth="1"/>
    <col min="4" max="4" width="5.5703125" style="28" bestFit="1" customWidth="1"/>
    <col min="5" max="5" width="9.7109375" style="19" bestFit="1" customWidth="1"/>
    <col min="6" max="6" width="13.5703125" style="19" bestFit="1" customWidth="1"/>
    <col min="7" max="7" width="9.7109375" style="19" bestFit="1" customWidth="1"/>
    <col min="8" max="8" width="13.5703125" style="19" bestFit="1" customWidth="1"/>
    <col min="9" max="9" width="9.7109375" style="19" bestFit="1" customWidth="1"/>
    <col min="10" max="10" width="13.5703125" style="19" bestFit="1" customWidth="1"/>
    <col min="11" max="11" width="9.7109375" style="19" bestFit="1" customWidth="1"/>
    <col min="12" max="12" width="13.5703125" style="19" bestFit="1" customWidth="1"/>
    <col min="13" max="13" width="11.7109375" style="19" customWidth="1"/>
    <col min="14" max="14" width="11" style="19" customWidth="1"/>
    <col min="15" max="16384" width="9.140625" style="19"/>
  </cols>
  <sheetData>
    <row r="1" spans="1:14" ht="51.7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4" s="20" customFormat="1" ht="32.25" customHeight="1" x14ac:dyDescent="0.25">
      <c r="A2" s="9"/>
      <c r="B2" s="9"/>
      <c r="C2" s="9"/>
      <c r="D2" s="12"/>
      <c r="E2" s="40" t="s">
        <v>43</v>
      </c>
      <c r="F2" s="40"/>
      <c r="G2" s="40" t="s">
        <v>44</v>
      </c>
      <c r="H2" s="40"/>
      <c r="I2" s="40" t="s">
        <v>45</v>
      </c>
      <c r="J2" s="40"/>
      <c r="K2" s="40" t="s">
        <v>46</v>
      </c>
      <c r="L2" s="40"/>
      <c r="M2" s="44" t="s">
        <v>51</v>
      </c>
      <c r="N2" s="45"/>
    </row>
    <row r="3" spans="1:14" s="7" customFormat="1" ht="34.5" customHeight="1" x14ac:dyDescent="0.25">
      <c r="A3" s="2" t="s">
        <v>0</v>
      </c>
      <c r="B3" s="2" t="s">
        <v>11</v>
      </c>
      <c r="C3" s="8" t="s">
        <v>12</v>
      </c>
      <c r="D3" s="8" t="s">
        <v>13</v>
      </c>
      <c r="E3" s="8" t="s">
        <v>14</v>
      </c>
      <c r="F3" s="3" t="s">
        <v>15</v>
      </c>
      <c r="G3" s="8" t="s">
        <v>14</v>
      </c>
      <c r="H3" s="3" t="s">
        <v>15</v>
      </c>
      <c r="I3" s="8" t="s">
        <v>14</v>
      </c>
      <c r="J3" s="3" t="s">
        <v>15</v>
      </c>
      <c r="K3" s="8" t="s">
        <v>14</v>
      </c>
      <c r="L3" s="3" t="s">
        <v>15</v>
      </c>
      <c r="M3" s="8" t="s">
        <v>14</v>
      </c>
      <c r="N3" s="8" t="s">
        <v>52</v>
      </c>
    </row>
    <row r="4" spans="1:14" s="7" customFormat="1" ht="63.75" x14ac:dyDescent="0.25">
      <c r="A4" s="16">
        <v>1</v>
      </c>
      <c r="B4" s="10">
        <v>1800003068</v>
      </c>
      <c r="C4" s="15" t="s">
        <v>39</v>
      </c>
      <c r="D4" s="10">
        <v>1</v>
      </c>
      <c r="E4" s="14">
        <v>70500</v>
      </c>
      <c r="F4" s="4">
        <f t="shared" ref="F4" si="0">E4*$D4</f>
        <v>70500</v>
      </c>
      <c r="G4" s="11">
        <v>70000</v>
      </c>
      <c r="H4" s="4">
        <f>G4*$D4</f>
        <v>70000</v>
      </c>
      <c r="I4" s="42" t="s">
        <v>47</v>
      </c>
      <c r="J4" s="43"/>
      <c r="K4" s="17">
        <v>64500</v>
      </c>
      <c r="L4" s="4">
        <f>K4*$D4</f>
        <v>64500</v>
      </c>
      <c r="M4" s="14">
        <v>64350</v>
      </c>
      <c r="N4" s="16" t="s">
        <v>49</v>
      </c>
    </row>
    <row r="5" spans="1:14" s="7" customFormat="1" ht="25.5" x14ac:dyDescent="0.25">
      <c r="A5" s="16">
        <v>2</v>
      </c>
      <c r="B5" s="10">
        <v>1800003069</v>
      </c>
      <c r="C5" s="15" t="s">
        <v>40</v>
      </c>
      <c r="D5" s="10">
        <v>25</v>
      </c>
      <c r="E5" s="14">
        <v>11700</v>
      </c>
      <c r="F5" s="4">
        <f t="shared" ref="F5:F7" si="1">E5*$D5</f>
        <v>292500</v>
      </c>
      <c r="G5" s="18">
        <v>11535</v>
      </c>
      <c r="H5" s="4">
        <f t="shared" ref="H5:H7" si="2">G5*$D5</f>
        <v>288375</v>
      </c>
      <c r="I5" s="14">
        <v>11017</v>
      </c>
      <c r="J5" s="4">
        <f>I5*$D5</f>
        <v>275425</v>
      </c>
      <c r="K5" s="14">
        <v>11650</v>
      </c>
      <c r="L5" s="4">
        <f>K5*$D5</f>
        <v>291250</v>
      </c>
      <c r="M5" s="14">
        <v>11400</v>
      </c>
      <c r="N5" s="16" t="s">
        <v>50</v>
      </c>
    </row>
    <row r="6" spans="1:14" s="7" customFormat="1" ht="63.75" x14ac:dyDescent="0.25">
      <c r="A6" s="16">
        <v>3</v>
      </c>
      <c r="B6" s="10">
        <v>1800003110</v>
      </c>
      <c r="C6" s="15" t="s">
        <v>41</v>
      </c>
      <c r="D6" s="10">
        <v>70</v>
      </c>
      <c r="E6" s="14">
        <v>33500</v>
      </c>
      <c r="F6" s="4">
        <f t="shared" si="1"/>
        <v>2345000</v>
      </c>
      <c r="G6" s="11">
        <v>33780</v>
      </c>
      <c r="H6" s="4">
        <f t="shared" si="2"/>
        <v>2364600</v>
      </c>
      <c r="I6" s="14">
        <v>7200</v>
      </c>
      <c r="J6" s="4">
        <f t="shared" ref="J6" si="3">I6*$D6</f>
        <v>504000</v>
      </c>
      <c r="K6" s="17">
        <v>33050</v>
      </c>
      <c r="L6" s="4">
        <f t="shared" ref="L6:L7" si="4">K6*$D6</f>
        <v>2313500</v>
      </c>
      <c r="M6" s="14">
        <v>31250</v>
      </c>
      <c r="N6" s="16" t="s">
        <v>50</v>
      </c>
    </row>
    <row r="7" spans="1:14" s="7" customFormat="1" ht="89.25" x14ac:dyDescent="0.25">
      <c r="A7" s="16">
        <v>4</v>
      </c>
      <c r="B7" s="10">
        <v>1800003132</v>
      </c>
      <c r="C7" s="15" t="s">
        <v>42</v>
      </c>
      <c r="D7" s="10">
        <v>70</v>
      </c>
      <c r="E7" s="14">
        <v>53500</v>
      </c>
      <c r="F7" s="4">
        <f t="shared" si="1"/>
        <v>3745000</v>
      </c>
      <c r="G7" s="11">
        <v>69000</v>
      </c>
      <c r="H7" s="4">
        <f t="shared" si="2"/>
        <v>4830000</v>
      </c>
      <c r="I7" s="17">
        <v>46000</v>
      </c>
      <c r="J7" s="4">
        <f t="shared" ref="J7" si="5">I7*$D7</f>
        <v>3220000</v>
      </c>
      <c r="K7" s="14">
        <v>51750</v>
      </c>
      <c r="L7" s="4">
        <f t="shared" si="4"/>
        <v>3622500</v>
      </c>
      <c r="M7" s="14">
        <v>54350</v>
      </c>
      <c r="N7" s="16" t="s">
        <v>50</v>
      </c>
    </row>
    <row r="8" spans="1:14" s="6" customFormat="1" ht="15" customHeight="1" x14ac:dyDescent="0.25">
      <c r="A8" s="16">
        <v>5</v>
      </c>
      <c r="B8" s="41" t="s">
        <v>1</v>
      </c>
      <c r="C8" s="41"/>
      <c r="D8" s="41"/>
      <c r="E8" s="21"/>
      <c r="F8" s="21">
        <f>SUM(F4:F7)</f>
        <v>6453000</v>
      </c>
      <c r="G8" s="21"/>
      <c r="H8" s="21">
        <f>SUM(H4:H7)</f>
        <v>7552975</v>
      </c>
      <c r="I8" s="21"/>
      <c r="J8" s="21">
        <f>SUM(J4:J7)</f>
        <v>3999425</v>
      </c>
      <c r="K8" s="21"/>
      <c r="L8" s="21">
        <f>SUM(L4:L7)</f>
        <v>6291750</v>
      </c>
    </row>
    <row r="9" spans="1:14" ht="15" customHeight="1" x14ac:dyDescent="0.25">
      <c r="A9" s="16">
        <v>6</v>
      </c>
      <c r="B9" s="38" t="s">
        <v>4</v>
      </c>
      <c r="C9" s="38"/>
      <c r="D9" s="38"/>
      <c r="E9" s="22">
        <v>0</v>
      </c>
      <c r="F9" s="23">
        <f>F8*E9</f>
        <v>0</v>
      </c>
      <c r="G9" s="22">
        <v>0</v>
      </c>
      <c r="H9" s="23">
        <f>H8*G9</f>
        <v>0</v>
      </c>
      <c r="I9" s="22">
        <v>0</v>
      </c>
      <c r="J9" s="23">
        <f>J8*I9</f>
        <v>0</v>
      </c>
      <c r="K9" s="22">
        <v>0</v>
      </c>
      <c r="L9" s="23">
        <f>L8*K9</f>
        <v>0</v>
      </c>
    </row>
    <row r="10" spans="1:14" s="6" customFormat="1" ht="15" customHeight="1" x14ac:dyDescent="0.25">
      <c r="A10" s="16">
        <v>7</v>
      </c>
      <c r="B10" s="37" t="s">
        <v>2</v>
      </c>
      <c r="C10" s="37"/>
      <c r="D10" s="37"/>
      <c r="E10" s="2"/>
      <c r="F10" s="21">
        <f>F8+F9</f>
        <v>6453000</v>
      </c>
      <c r="G10" s="2"/>
      <c r="H10" s="21">
        <f>H8+H9</f>
        <v>7552975</v>
      </c>
      <c r="I10" s="2"/>
      <c r="J10" s="21">
        <f>J8+J9</f>
        <v>3999425</v>
      </c>
      <c r="K10" s="2"/>
      <c r="L10" s="21">
        <f>L8+L9</f>
        <v>6291750</v>
      </c>
    </row>
    <row r="11" spans="1:14" ht="15" customHeight="1" x14ac:dyDescent="0.25">
      <c r="A11" s="16">
        <v>8</v>
      </c>
      <c r="B11" s="38" t="s">
        <v>5</v>
      </c>
      <c r="C11" s="38"/>
      <c r="D11" s="38"/>
      <c r="E11" s="22">
        <v>0</v>
      </c>
      <c r="F11" s="23">
        <f>F10*E11</f>
        <v>0</v>
      </c>
      <c r="G11" s="22">
        <v>0</v>
      </c>
      <c r="H11" s="23">
        <f>H10*G11</f>
        <v>0</v>
      </c>
      <c r="I11" s="22">
        <v>0</v>
      </c>
      <c r="J11" s="23">
        <f>J10*I11</f>
        <v>0</v>
      </c>
      <c r="K11" s="22">
        <v>0</v>
      </c>
      <c r="L11" s="23">
        <f>L10*K11</f>
        <v>0</v>
      </c>
    </row>
    <row r="12" spans="1:14" ht="15" customHeight="1" x14ac:dyDescent="0.25">
      <c r="A12" s="16">
        <v>9</v>
      </c>
      <c r="B12" s="38" t="s">
        <v>6</v>
      </c>
      <c r="C12" s="38"/>
      <c r="D12" s="38"/>
      <c r="E12" s="22">
        <v>0</v>
      </c>
      <c r="F12" s="23">
        <f>F10*E12</f>
        <v>0</v>
      </c>
      <c r="G12" s="22">
        <v>0</v>
      </c>
      <c r="H12" s="23">
        <f>H10*G12</f>
        <v>0</v>
      </c>
      <c r="I12" s="22">
        <v>0</v>
      </c>
      <c r="J12" s="23">
        <f>J10*I12</f>
        <v>0</v>
      </c>
      <c r="K12" s="22">
        <v>0</v>
      </c>
      <c r="L12" s="23">
        <f>L10*K12</f>
        <v>0</v>
      </c>
    </row>
    <row r="13" spans="1:14" s="6" customFormat="1" ht="15" customHeight="1" x14ac:dyDescent="0.25">
      <c r="A13" s="16">
        <v>10</v>
      </c>
      <c r="B13" s="37" t="s">
        <v>48</v>
      </c>
      <c r="C13" s="37"/>
      <c r="D13" s="37"/>
      <c r="E13" s="2"/>
      <c r="F13" s="21">
        <f>F10+F11+F12</f>
        <v>6453000</v>
      </c>
      <c r="G13" s="2"/>
      <c r="H13" s="21">
        <f>H10+H11+H12</f>
        <v>7552975</v>
      </c>
      <c r="I13" s="2"/>
      <c r="J13" s="21">
        <f>J10+J11+J12</f>
        <v>3999425</v>
      </c>
      <c r="K13" s="2"/>
      <c r="L13" s="21">
        <f>L10+L11+L12</f>
        <v>6291750</v>
      </c>
    </row>
    <row r="14" spans="1:14" s="6" customFormat="1" ht="15" customHeight="1" x14ac:dyDescent="0.25">
      <c r="A14" s="16">
        <v>11</v>
      </c>
      <c r="B14" s="38" t="s">
        <v>8</v>
      </c>
      <c r="C14" s="38"/>
      <c r="D14" s="38"/>
      <c r="E14" s="22">
        <v>0.09</v>
      </c>
      <c r="F14" s="23">
        <f>F13*E14</f>
        <v>580770</v>
      </c>
      <c r="G14" s="22">
        <v>0.09</v>
      </c>
      <c r="H14" s="23">
        <f>H13*G14</f>
        <v>679767.75</v>
      </c>
      <c r="I14" s="22">
        <v>0.09</v>
      </c>
      <c r="J14" s="23">
        <f>J13*I14</f>
        <v>359948.25</v>
      </c>
      <c r="K14" s="22">
        <v>0.09</v>
      </c>
      <c r="L14" s="23">
        <f>L13*K14</f>
        <v>566257.5</v>
      </c>
    </row>
    <row r="15" spans="1:14" s="6" customFormat="1" ht="15" customHeight="1" x14ac:dyDescent="0.25">
      <c r="A15" s="16">
        <v>12</v>
      </c>
      <c r="B15" s="38" t="s">
        <v>9</v>
      </c>
      <c r="C15" s="38"/>
      <c r="D15" s="38"/>
      <c r="E15" s="22">
        <v>0.09</v>
      </c>
      <c r="F15" s="23">
        <f>F13*E15</f>
        <v>580770</v>
      </c>
      <c r="G15" s="22">
        <v>0.09</v>
      </c>
      <c r="H15" s="23">
        <f>H13*G15</f>
        <v>679767.75</v>
      </c>
      <c r="I15" s="22">
        <v>0.09</v>
      </c>
      <c r="J15" s="23">
        <f>J13*I15</f>
        <v>359948.25</v>
      </c>
      <c r="K15" s="22">
        <v>0.09</v>
      </c>
      <c r="L15" s="23">
        <f>L13*K15</f>
        <v>566257.5</v>
      </c>
    </row>
    <row r="16" spans="1:14" s="6" customFormat="1" ht="15" customHeight="1" x14ac:dyDescent="0.25">
      <c r="A16" s="16">
        <v>13</v>
      </c>
      <c r="B16" s="38" t="s">
        <v>10</v>
      </c>
      <c r="C16" s="38"/>
      <c r="D16" s="38"/>
      <c r="E16" s="22">
        <v>0</v>
      </c>
      <c r="F16" s="23">
        <f>F13*E16</f>
        <v>0</v>
      </c>
      <c r="G16" s="22">
        <v>0</v>
      </c>
      <c r="H16" s="23">
        <f>H13*G16</f>
        <v>0</v>
      </c>
      <c r="I16" s="22">
        <v>0</v>
      </c>
      <c r="J16" s="23">
        <f>J13*I16</f>
        <v>0</v>
      </c>
      <c r="K16" s="22">
        <v>0</v>
      </c>
      <c r="L16" s="23">
        <f>L13*K16</f>
        <v>0</v>
      </c>
    </row>
    <row r="17" spans="1:12" s="6" customFormat="1" ht="15" customHeight="1" x14ac:dyDescent="0.25">
      <c r="A17" s="16">
        <v>14</v>
      </c>
      <c r="B17" s="37" t="s">
        <v>7</v>
      </c>
      <c r="C17" s="37"/>
      <c r="D17" s="37"/>
      <c r="E17" s="5"/>
      <c r="F17" s="1">
        <f>F13+F14+F15+F16</f>
        <v>7614540</v>
      </c>
      <c r="G17" s="5"/>
      <c r="H17" s="1">
        <f>H13+H14+H15+H16</f>
        <v>8912510.5</v>
      </c>
      <c r="I17" s="5"/>
      <c r="J17" s="1">
        <f>J13+J14+J15+J16</f>
        <v>4719321.5</v>
      </c>
      <c r="K17" s="5"/>
      <c r="L17" s="1">
        <f>L13+L14+L15+L16</f>
        <v>7424265</v>
      </c>
    </row>
    <row r="18" spans="1:12" s="13" customFormat="1" ht="14.25" x14ac:dyDescent="0.25">
      <c r="A18" s="16">
        <v>15</v>
      </c>
      <c r="B18" s="35" t="s">
        <v>16</v>
      </c>
      <c r="C18" s="35"/>
      <c r="D18" s="35"/>
      <c r="E18" s="36" t="s">
        <v>17</v>
      </c>
      <c r="F18" s="36"/>
      <c r="G18" s="36" t="s">
        <v>18</v>
      </c>
      <c r="H18" s="36"/>
      <c r="I18" s="36" t="s">
        <v>19</v>
      </c>
      <c r="J18" s="36"/>
      <c r="K18" s="36" t="s">
        <v>20</v>
      </c>
      <c r="L18" s="36"/>
    </row>
    <row r="19" spans="1:12" s="24" customFormat="1" ht="15" x14ac:dyDescent="0.25">
      <c r="A19" s="16">
        <v>16</v>
      </c>
      <c r="B19" s="30" t="s">
        <v>21</v>
      </c>
      <c r="C19" s="30"/>
      <c r="D19" s="30"/>
      <c r="E19" s="33" t="s">
        <v>3</v>
      </c>
      <c r="F19" s="33"/>
      <c r="G19" s="33" t="s">
        <v>3</v>
      </c>
      <c r="H19" s="33"/>
      <c r="I19" s="33" t="s">
        <v>3</v>
      </c>
      <c r="J19" s="33"/>
      <c r="K19" s="33" t="s">
        <v>3</v>
      </c>
      <c r="L19" s="33"/>
    </row>
    <row r="20" spans="1:12" s="24" customFormat="1" ht="15" x14ac:dyDescent="0.25">
      <c r="A20" s="16">
        <v>17</v>
      </c>
      <c r="B20" s="30" t="s">
        <v>22</v>
      </c>
      <c r="C20" s="30"/>
      <c r="D20" s="30"/>
      <c r="E20" s="33" t="s">
        <v>23</v>
      </c>
      <c r="F20" s="33"/>
      <c r="G20" s="33" t="s">
        <v>23</v>
      </c>
      <c r="H20" s="33"/>
      <c r="I20" s="33" t="s">
        <v>23</v>
      </c>
      <c r="J20" s="33"/>
      <c r="K20" s="33" t="s">
        <v>23</v>
      </c>
      <c r="L20" s="33"/>
    </row>
    <row r="21" spans="1:12" s="25" customFormat="1" ht="15" x14ac:dyDescent="0.25">
      <c r="A21" s="16">
        <v>18</v>
      </c>
      <c r="B21" s="30" t="s">
        <v>24</v>
      </c>
      <c r="C21" s="30"/>
      <c r="D21" s="30"/>
      <c r="E21" s="34" t="s">
        <v>25</v>
      </c>
      <c r="F21" s="34"/>
      <c r="G21" s="34" t="s">
        <v>25</v>
      </c>
      <c r="H21" s="34"/>
      <c r="I21" s="34" t="s">
        <v>25</v>
      </c>
      <c r="J21" s="34"/>
      <c r="K21" s="34" t="s">
        <v>25</v>
      </c>
      <c r="L21" s="34"/>
    </row>
    <row r="22" spans="1:12" s="24" customFormat="1" ht="15" x14ac:dyDescent="0.25">
      <c r="A22" s="16">
        <v>19</v>
      </c>
      <c r="B22" s="30" t="s">
        <v>26</v>
      </c>
      <c r="C22" s="30"/>
      <c r="D22" s="30"/>
      <c r="E22" s="33" t="s">
        <v>23</v>
      </c>
      <c r="F22" s="33"/>
      <c r="G22" s="33" t="s">
        <v>23</v>
      </c>
      <c r="H22" s="33"/>
      <c r="I22" s="33" t="s">
        <v>23</v>
      </c>
      <c r="J22" s="33"/>
      <c r="K22" s="33" t="s">
        <v>23</v>
      </c>
      <c r="L22" s="33"/>
    </row>
    <row r="23" spans="1:12" s="24" customFormat="1" ht="15" x14ac:dyDescent="0.25">
      <c r="A23" s="16">
        <v>20</v>
      </c>
      <c r="B23" s="30" t="s">
        <v>27</v>
      </c>
      <c r="C23" s="30"/>
      <c r="D23" s="30"/>
      <c r="E23" s="33" t="s">
        <v>23</v>
      </c>
      <c r="F23" s="33"/>
      <c r="G23" s="33" t="s">
        <v>23</v>
      </c>
      <c r="H23" s="33"/>
      <c r="I23" s="33" t="s">
        <v>23</v>
      </c>
      <c r="J23" s="33"/>
      <c r="K23" s="33" t="s">
        <v>23</v>
      </c>
      <c r="L23" s="33"/>
    </row>
    <row r="24" spans="1:12" s="26" customFormat="1" ht="15" x14ac:dyDescent="0.25">
      <c r="A24" s="16">
        <v>21</v>
      </c>
      <c r="B24" s="30" t="s">
        <v>28</v>
      </c>
      <c r="C24" s="30"/>
      <c r="D24" s="30"/>
      <c r="E24" s="33" t="s">
        <v>29</v>
      </c>
      <c r="F24" s="33"/>
      <c r="G24" s="33" t="s">
        <v>29</v>
      </c>
      <c r="H24" s="33"/>
      <c r="I24" s="33" t="s">
        <v>29</v>
      </c>
      <c r="J24" s="33"/>
      <c r="K24" s="33" t="s">
        <v>29</v>
      </c>
      <c r="L24" s="33"/>
    </row>
    <row r="25" spans="1:12" s="24" customFormat="1" ht="15" x14ac:dyDescent="0.25">
      <c r="A25" s="16">
        <v>22</v>
      </c>
      <c r="B25" s="30" t="s">
        <v>30</v>
      </c>
      <c r="C25" s="30"/>
      <c r="D25" s="30"/>
      <c r="E25" s="33" t="s">
        <v>29</v>
      </c>
      <c r="F25" s="33"/>
      <c r="G25" s="33" t="s">
        <v>29</v>
      </c>
      <c r="H25" s="33"/>
      <c r="I25" s="33" t="s">
        <v>29</v>
      </c>
      <c r="J25" s="33"/>
      <c r="K25" s="33" t="s">
        <v>29</v>
      </c>
      <c r="L25" s="33"/>
    </row>
    <row r="26" spans="1:12" s="26" customFormat="1" ht="15" x14ac:dyDescent="0.25">
      <c r="A26" s="16">
        <v>23</v>
      </c>
      <c r="B26" s="30" t="s">
        <v>31</v>
      </c>
      <c r="C26" s="30"/>
      <c r="D26" s="30"/>
      <c r="E26" s="29" t="s">
        <v>29</v>
      </c>
      <c r="F26" s="29"/>
      <c r="G26" s="29" t="s">
        <v>29</v>
      </c>
      <c r="H26" s="29"/>
      <c r="I26" s="33" t="s">
        <v>29</v>
      </c>
      <c r="J26" s="33"/>
      <c r="K26" s="29" t="s">
        <v>29</v>
      </c>
      <c r="L26" s="29"/>
    </row>
    <row r="27" spans="1:12" s="26" customFormat="1" ht="15" x14ac:dyDescent="0.25">
      <c r="A27" s="16">
        <v>24</v>
      </c>
      <c r="B27" s="30" t="s">
        <v>32</v>
      </c>
      <c r="C27" s="30"/>
      <c r="D27" s="30"/>
      <c r="E27" s="29" t="s">
        <v>29</v>
      </c>
      <c r="F27" s="29"/>
      <c r="G27" s="29" t="s">
        <v>29</v>
      </c>
      <c r="H27" s="29"/>
      <c r="I27" s="29" t="s">
        <v>29</v>
      </c>
      <c r="J27" s="29"/>
      <c r="K27" s="29" t="s">
        <v>29</v>
      </c>
      <c r="L27" s="29"/>
    </row>
    <row r="28" spans="1:12" s="26" customFormat="1" ht="15" x14ac:dyDescent="0.25">
      <c r="A28" s="16">
        <v>25</v>
      </c>
      <c r="B28" s="30" t="s">
        <v>33</v>
      </c>
      <c r="C28" s="30"/>
      <c r="D28" s="30"/>
      <c r="E28" s="31" t="s">
        <v>34</v>
      </c>
      <c r="F28" s="31"/>
      <c r="G28" s="31" t="s">
        <v>34</v>
      </c>
      <c r="H28" s="31"/>
      <c r="I28" s="31" t="s">
        <v>34</v>
      </c>
      <c r="J28" s="31"/>
      <c r="K28" s="31" t="s">
        <v>34</v>
      </c>
      <c r="L28" s="31"/>
    </row>
    <row r="29" spans="1:12" s="26" customFormat="1" ht="15" x14ac:dyDescent="0.25">
      <c r="A29" s="16">
        <v>26</v>
      </c>
      <c r="B29" s="30" t="s">
        <v>35</v>
      </c>
      <c r="C29" s="30"/>
      <c r="D29" s="30"/>
      <c r="E29" s="29" t="s">
        <v>29</v>
      </c>
      <c r="F29" s="29"/>
      <c r="G29" s="29" t="s">
        <v>29</v>
      </c>
      <c r="H29" s="29"/>
      <c r="I29" s="29" t="s">
        <v>29</v>
      </c>
      <c r="J29" s="29"/>
      <c r="K29" s="29" t="s">
        <v>29</v>
      </c>
      <c r="L29" s="29"/>
    </row>
    <row r="30" spans="1:12" s="26" customFormat="1" ht="15" x14ac:dyDescent="0.25">
      <c r="A30" s="16">
        <v>27</v>
      </c>
      <c r="B30" s="30" t="s">
        <v>36</v>
      </c>
      <c r="C30" s="30"/>
      <c r="D30" s="30"/>
      <c r="E30" s="29" t="s">
        <v>29</v>
      </c>
      <c r="F30" s="29"/>
      <c r="G30" s="29" t="s">
        <v>29</v>
      </c>
      <c r="H30" s="29"/>
      <c r="I30" s="29" t="s">
        <v>29</v>
      </c>
      <c r="J30" s="29"/>
      <c r="K30" s="29" t="s">
        <v>29</v>
      </c>
      <c r="L30" s="29"/>
    </row>
    <row r="31" spans="1:12" s="26" customFormat="1" ht="15" x14ac:dyDescent="0.25">
      <c r="A31" s="16">
        <v>28</v>
      </c>
      <c r="B31" s="30" t="s">
        <v>37</v>
      </c>
      <c r="C31" s="30"/>
      <c r="D31" s="30"/>
      <c r="E31" s="30"/>
      <c r="F31" s="30"/>
      <c r="G31" s="32"/>
      <c r="H31" s="32"/>
      <c r="I31" s="32"/>
      <c r="J31" s="32"/>
      <c r="K31" s="32"/>
      <c r="L31" s="32"/>
    </row>
  </sheetData>
  <mergeCells count="87">
    <mergeCell ref="M2:N2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I18:J18"/>
    <mergeCell ref="K18:L18"/>
    <mergeCell ref="K19:L19"/>
    <mergeCell ref="K20:L20"/>
    <mergeCell ref="K21:L21"/>
    <mergeCell ref="A1:L1"/>
    <mergeCell ref="K2:L2"/>
    <mergeCell ref="E2:F2"/>
    <mergeCell ref="G2:H2"/>
    <mergeCell ref="B30:D30"/>
    <mergeCell ref="I19:J19"/>
    <mergeCell ref="I20:J20"/>
    <mergeCell ref="I21:J21"/>
    <mergeCell ref="I22:J22"/>
    <mergeCell ref="I23:J23"/>
    <mergeCell ref="B8:D8"/>
    <mergeCell ref="B11:D11"/>
    <mergeCell ref="B12:D12"/>
    <mergeCell ref="I2:J2"/>
    <mergeCell ref="I4:J4"/>
    <mergeCell ref="B9:D9"/>
    <mergeCell ref="B31:D31"/>
    <mergeCell ref="B29:D29"/>
    <mergeCell ref="I24:J24"/>
    <mergeCell ref="I25:J25"/>
    <mergeCell ref="I26:J26"/>
    <mergeCell ref="I30:J30"/>
    <mergeCell ref="I31:J31"/>
    <mergeCell ref="I27:J27"/>
    <mergeCell ref="I28:J28"/>
    <mergeCell ref="I29:J29"/>
    <mergeCell ref="B27:D27"/>
    <mergeCell ref="B28:D28"/>
    <mergeCell ref="B25:D25"/>
    <mergeCell ref="B26:D26"/>
    <mergeCell ref="E25:F25"/>
    <mergeCell ref="E26:F26"/>
    <mergeCell ref="B22:D22"/>
    <mergeCell ref="B23:D23"/>
    <mergeCell ref="B24:D24"/>
    <mergeCell ref="B10:D10"/>
    <mergeCell ref="B17:D17"/>
    <mergeCell ref="B13:D13"/>
    <mergeCell ref="B14:D14"/>
    <mergeCell ref="B15:D15"/>
    <mergeCell ref="B16:D16"/>
    <mergeCell ref="G20:H20"/>
    <mergeCell ref="G21:H21"/>
    <mergeCell ref="G22:H22"/>
    <mergeCell ref="G23:H23"/>
    <mergeCell ref="B18:D18"/>
    <mergeCell ref="B19:D19"/>
    <mergeCell ref="E18:F18"/>
    <mergeCell ref="E19:F19"/>
    <mergeCell ref="G18:H18"/>
    <mergeCell ref="G19:H19"/>
    <mergeCell ref="E20:F20"/>
    <mergeCell ref="E21:F21"/>
    <mergeCell ref="E22:F22"/>
    <mergeCell ref="E23:F23"/>
    <mergeCell ref="B20:D20"/>
    <mergeCell ref="B21:D21"/>
    <mergeCell ref="G24:H24"/>
    <mergeCell ref="G25:H25"/>
    <mergeCell ref="G26:H26"/>
    <mergeCell ref="E27:F27"/>
    <mergeCell ref="E28:F28"/>
    <mergeCell ref="E24:F24"/>
    <mergeCell ref="E29:F29"/>
    <mergeCell ref="E30:F30"/>
    <mergeCell ref="E31:F31"/>
    <mergeCell ref="G27:H27"/>
    <mergeCell ref="G28:H28"/>
    <mergeCell ref="G29:H29"/>
    <mergeCell ref="G30:H30"/>
    <mergeCell ref="G31:H31"/>
  </mergeCells>
  <conditionalFormatting sqref="E8 I8">
    <cfRule type="expression" dxfId="14" priority="51">
      <formula>E8=#REF!</formula>
    </cfRule>
  </conditionalFormatting>
  <conditionalFormatting sqref="F4:F7">
    <cfRule type="expression" dxfId="13" priority="42">
      <formula>F4=#REF!</formula>
    </cfRule>
  </conditionalFormatting>
  <conditionalFormatting sqref="J5:J7">
    <cfRule type="expression" dxfId="12" priority="37">
      <formula>J5=#REF!</formula>
    </cfRule>
  </conditionalFormatting>
  <conditionalFormatting sqref="F4:F7">
    <cfRule type="expression" dxfId="11" priority="44">
      <formula>F4=#REF!</formula>
    </cfRule>
  </conditionalFormatting>
  <conditionalFormatting sqref="J5:J7">
    <cfRule type="expression" dxfId="10" priority="39">
      <formula>J5=#REF!</formula>
    </cfRule>
  </conditionalFormatting>
  <conditionalFormatting sqref="F8">
    <cfRule type="expression" dxfId="9" priority="28">
      <formula>F8=#REF!</formula>
    </cfRule>
  </conditionalFormatting>
  <conditionalFormatting sqref="J8">
    <cfRule type="expression" dxfId="8" priority="27">
      <formula>J8=#REF!</formula>
    </cfRule>
  </conditionalFormatting>
  <conditionalFormatting sqref="K8">
    <cfRule type="expression" dxfId="7" priority="13">
      <formula>K8=#REF!</formula>
    </cfRule>
  </conditionalFormatting>
  <conditionalFormatting sqref="L4:L7">
    <cfRule type="expression" dxfId="6" priority="8">
      <formula>L4=#REF!</formula>
    </cfRule>
  </conditionalFormatting>
  <conditionalFormatting sqref="L4:L7">
    <cfRule type="expression" dxfId="5" priority="9">
      <formula>L4=#REF!</formula>
    </cfRule>
  </conditionalFormatting>
  <conditionalFormatting sqref="L8">
    <cfRule type="expression" dxfId="4" priority="5">
      <formula>L8=#REF!</formula>
    </cfRule>
  </conditionalFormatting>
  <conditionalFormatting sqref="G8">
    <cfRule type="expression" dxfId="3" priority="4">
      <formula>G8=#REF!</formula>
    </cfRule>
  </conditionalFormatting>
  <conditionalFormatting sqref="H4:H7">
    <cfRule type="expression" dxfId="2" priority="2">
      <formula>H4=#REF!</formula>
    </cfRule>
  </conditionalFormatting>
  <conditionalFormatting sqref="H4:H7">
    <cfRule type="expression" dxfId="1" priority="3">
      <formula>H4=#REF!</formula>
    </cfRule>
  </conditionalFormatting>
  <conditionalFormatting sqref="H8">
    <cfRule type="expression" dxfId="0" priority="1">
      <formula>H8=#REF!</formula>
    </cfRule>
  </conditionalFormatting>
  <printOptions horizontalCentered="1"/>
  <pageMargins left="0.15748031496062992" right="0.15748031496062992" top="0.23622047244094491" bottom="0.15748031496062992" header="0" footer="0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HAEP</vt:lpstr>
      <vt:lpstr>HAEP!Print_Area</vt:lpstr>
      <vt:lpstr>HAEP!Print_Titles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kribhco</dc:creator>
  <cp:lastModifiedBy>Sunil Kumar VA</cp:lastModifiedBy>
  <cp:lastPrinted>2024-07-15T08:42:13Z</cp:lastPrinted>
  <dcterms:created xsi:type="dcterms:W3CDTF">2015-01-15T05:34:14Z</dcterms:created>
  <dcterms:modified xsi:type="dcterms:W3CDTF">2024-07-15T08:42:17Z</dcterms:modified>
</cp:coreProperties>
</file>