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H12" i="1"/>
  <c r="D10" i="1" l="1"/>
  <c r="F10" i="1" s="1"/>
  <c r="D11" i="1"/>
  <c r="F11" i="1" s="1"/>
  <c r="D7" i="1"/>
  <c r="D6" i="1"/>
  <c r="D5" i="1"/>
  <c r="D4" i="1"/>
  <c r="F6" i="1" l="1"/>
</calcChain>
</file>

<file path=xl/sharedStrings.xml><?xml version="1.0" encoding="utf-8"?>
<sst xmlns="http://schemas.openxmlformats.org/spreadsheetml/2006/main" count="13" uniqueCount="11">
  <si>
    <t>Desktop Acer Veriton M200 Tower</t>
  </si>
  <si>
    <t>Rubik</t>
  </si>
  <si>
    <t>Lenovo ThinkCentre 50s SFF</t>
  </si>
  <si>
    <t>Innovative</t>
  </si>
  <si>
    <t>Jupiter</t>
  </si>
  <si>
    <t>Office 2021</t>
  </si>
  <si>
    <t xml:space="preserve">Last Procurement </t>
  </si>
  <si>
    <t>With GST</t>
  </si>
  <si>
    <t>PC</t>
  </si>
  <si>
    <t>Office</t>
  </si>
  <si>
    <t>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</si>
</sst>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tabSelected="1" workbookViewId="0">
      <selection activeCell="J7" sqref="J7"/>
    </sheetView>
  </sheetViews>
  <sheetFormatPr defaultRowHeight="15" x14ac:dyDescent="0.25"/>
  <cols>
    <col min="1" max="1" width="17" bestFit="1" customWidth="1"/>
    <col min="2" max="2" width="31.7109375" bestFit="1" customWidth="1"/>
    <col min="4" max="4" width="9" bestFit="1" customWidth="1"/>
    <col min="8" max="8" width="10.42578125" bestFit="1" customWidth="1"/>
  </cols>
  <sheetData>
    <row r="2" spans="1:9" x14ac:dyDescent="0.25">
      <c r="D2" s="2" t="s">
        <v>7</v>
      </c>
      <c r="H2" t="s">
        <v>10</v>
      </c>
    </row>
    <row r="4" spans="1:9" x14ac:dyDescent="0.25">
      <c r="A4" t="s">
        <v>1</v>
      </c>
      <c r="B4" t="s">
        <v>0</v>
      </c>
      <c r="C4" s="1">
        <v>63450</v>
      </c>
      <c r="D4" s="1">
        <f>C4*1.18</f>
        <v>74871</v>
      </c>
    </row>
    <row r="5" spans="1:9" x14ac:dyDescent="0.25">
      <c r="A5" t="s">
        <v>3</v>
      </c>
      <c r="B5" t="s">
        <v>2</v>
      </c>
      <c r="C5" s="1">
        <v>72000</v>
      </c>
      <c r="D5" s="1">
        <f t="shared" ref="D5:D11" si="0">C5*1.18</f>
        <v>84960</v>
      </c>
    </row>
    <row r="6" spans="1:9" x14ac:dyDescent="0.25">
      <c r="A6" t="s">
        <v>4</v>
      </c>
      <c r="C6" s="1">
        <v>59000</v>
      </c>
      <c r="D6" s="1">
        <f t="shared" si="0"/>
        <v>69620</v>
      </c>
      <c r="F6" s="1">
        <f>AVERAGE(D4:D10)</f>
        <v>66115.399999999994</v>
      </c>
    </row>
    <row r="7" spans="1:9" x14ac:dyDescent="0.25">
      <c r="A7" t="s">
        <v>4</v>
      </c>
      <c r="B7" t="s">
        <v>5</v>
      </c>
      <c r="C7" s="1">
        <v>30700</v>
      </c>
      <c r="D7" s="1">
        <f t="shared" ref="D7" si="1">C7*1.18</f>
        <v>36226</v>
      </c>
    </row>
    <row r="8" spans="1:9" x14ac:dyDescent="0.25">
      <c r="C8" s="1"/>
      <c r="D8" s="1"/>
    </row>
    <row r="9" spans="1:9" x14ac:dyDescent="0.25">
      <c r="C9" s="1"/>
      <c r="D9" s="1"/>
    </row>
    <row r="10" spans="1:9" x14ac:dyDescent="0.25">
      <c r="A10" t="s">
        <v>6</v>
      </c>
      <c r="B10" t="s">
        <v>8</v>
      </c>
      <c r="C10" s="1">
        <v>55000</v>
      </c>
      <c r="D10" s="1">
        <f t="shared" si="0"/>
        <v>64900</v>
      </c>
      <c r="F10" s="1">
        <f>D10*1.1</f>
        <v>71390</v>
      </c>
      <c r="H10" s="1">
        <v>70000</v>
      </c>
      <c r="I10" s="1"/>
    </row>
    <row r="11" spans="1:9" x14ac:dyDescent="0.25">
      <c r="A11" t="s">
        <v>6</v>
      </c>
      <c r="B11" t="s">
        <v>9</v>
      </c>
      <c r="C11" s="1">
        <v>31500</v>
      </c>
      <c r="D11" s="1">
        <f t="shared" si="0"/>
        <v>37170</v>
      </c>
      <c r="F11" s="1">
        <f>D11*1.1</f>
        <v>40887</v>
      </c>
      <c r="H11" s="1">
        <v>40000</v>
      </c>
      <c r="I11" s="1"/>
    </row>
    <row r="12" spans="1:9" x14ac:dyDescent="0.25">
      <c r="C12" s="1"/>
      <c r="D12" s="1"/>
      <c r="H12" s="1">
        <f>SUM(H10:H11)</f>
        <v>110000</v>
      </c>
      <c r="I12" s="1">
        <f>H12*50</f>
        <v>5500000</v>
      </c>
    </row>
    <row r="13" spans="1:9" x14ac:dyDescent="0.25">
      <c r="H13" s="1"/>
      <c r="I13" s="1"/>
    </row>
    <row r="14" spans="1:9" x14ac:dyDescent="0.25">
      <c r="H14" s="1"/>
      <c r="I14" s="1"/>
    </row>
    <row r="15" spans="1:9" x14ac:dyDescent="0.25">
      <c r="H15" s="1"/>
      <c r="I15" s="1"/>
    </row>
    <row r="16" spans="1:9" x14ac:dyDescent="0.25">
      <c r="H16" s="1"/>
      <c r="I16" s="1"/>
    </row>
    <row r="17" spans="8:9" x14ac:dyDescent="0.25">
      <c r="H17" s="1"/>
      <c r="I1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2022-04-12T03:34:41Z</dcterms:modified>
</cp:coreProperties>
</file>