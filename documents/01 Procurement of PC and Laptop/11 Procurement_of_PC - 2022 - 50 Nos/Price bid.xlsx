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0.1.54\ms_dept\Procurement\Enquiry_mpr\Enq\Procurement_of_PC - 2022\"/>
    </mc:Choice>
  </mc:AlternateContent>
  <bookViews>
    <workbookView xWindow="0" yWindow="0" windowWidth="20490" windowHeight="67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1" l="1"/>
  <c r="D9" i="1" s="1"/>
  <c r="D11" i="1" s="1"/>
  <c r="D6" i="1"/>
  <c r="B9" i="1" l="1"/>
  <c r="B11" i="1" s="1"/>
  <c r="D13" i="1" s="1"/>
  <c r="C7" i="1" l="1"/>
  <c r="C6" i="1"/>
  <c r="G7" i="1"/>
  <c r="G6" i="1"/>
  <c r="G9" i="1" s="1"/>
  <c r="G11" i="1" s="1"/>
  <c r="G13" i="1" s="1"/>
  <c r="F7" i="1"/>
  <c r="F6" i="1"/>
  <c r="E7" i="1"/>
  <c r="E6" i="1"/>
  <c r="E9" i="1" s="1"/>
  <c r="E11" i="1" s="1"/>
  <c r="E13" i="1" s="1"/>
  <c r="F9" i="1" l="1"/>
  <c r="F11" i="1" s="1"/>
  <c r="F13" i="1" s="1"/>
  <c r="C9" i="1"/>
  <c r="C11" i="1" s="1"/>
  <c r="C13" i="1" s="1"/>
</calcChain>
</file>

<file path=xl/sharedStrings.xml><?xml version="1.0" encoding="utf-8"?>
<sst xmlns="http://schemas.openxmlformats.org/spreadsheetml/2006/main" count="11" uniqueCount="11">
  <si>
    <t>Innovative-Lenovo ThinkCentre M80s Gen3</t>
  </si>
  <si>
    <t>PC</t>
  </si>
  <si>
    <t>MS Office</t>
  </si>
  <si>
    <t>PC with GST</t>
  </si>
  <si>
    <t>MS Office GST</t>
  </si>
  <si>
    <t>Jupiter-
HP Elite Tower 600 G9</t>
  </si>
  <si>
    <t xml:space="preserve">TM Solutech 
Acer Veriton 200 </t>
  </si>
  <si>
    <t xml:space="preserve">D V Networks
Lenovo ThinkCentre M80s Gen3 </t>
  </si>
  <si>
    <t xml:space="preserve">Difference </t>
  </si>
  <si>
    <t>Estimated</t>
  </si>
  <si>
    <t>After  Negotiation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</si>
</sst>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  <xf numFmtId="0" fontId="0" fillId="2" borderId="0" xfId="0" applyFill="1" applyAlignment="1">
      <alignment wrapText="1"/>
    </xf>
    <xf numFmtId="0" fontId="0" fillId="2" borderId="0" xfId="0" applyFill="1"/>
    <xf numFmtId="3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I10" sqref="I10"/>
    </sheetView>
  </sheetViews>
  <sheetFormatPr defaultRowHeight="15" x14ac:dyDescent="0.25"/>
  <cols>
    <col min="1" max="1" width="13.42578125" bestFit="1" customWidth="1"/>
    <col min="2" max="2" width="9.85546875" bestFit="1" customWidth="1"/>
    <col min="3" max="3" width="15.7109375" bestFit="1" customWidth="1"/>
    <col min="4" max="4" width="11.5703125" style="4" bestFit="1" customWidth="1"/>
    <col min="5" max="5" width="12.7109375" bestFit="1" customWidth="1"/>
    <col min="6" max="6" width="14.42578125" customWidth="1"/>
    <col min="7" max="7" width="10.42578125" customWidth="1"/>
  </cols>
  <sheetData>
    <row r="1" spans="1:7" s="1" customFormat="1" ht="75" x14ac:dyDescent="0.25">
      <c r="B1" s="1" t="s">
        <v>9</v>
      </c>
      <c r="C1" s="1" t="s">
        <v>6</v>
      </c>
      <c r="D1" s="3" t="s">
        <v>10</v>
      </c>
      <c r="E1" s="1" t="s">
        <v>5</v>
      </c>
      <c r="F1" s="1" t="s">
        <v>7</v>
      </c>
      <c r="G1" s="1" t="s">
        <v>0</v>
      </c>
    </row>
    <row r="3" spans="1:7" x14ac:dyDescent="0.25">
      <c r="A3" t="s">
        <v>1</v>
      </c>
      <c r="C3" s="2">
        <v>59800</v>
      </c>
      <c r="D3" s="5">
        <v>59000</v>
      </c>
      <c r="E3" s="2">
        <v>63500</v>
      </c>
      <c r="F3" s="2">
        <v>72700</v>
      </c>
      <c r="G3" s="2">
        <v>81446.399999999994</v>
      </c>
    </row>
    <row r="4" spans="1:7" x14ac:dyDescent="0.25">
      <c r="A4" t="s">
        <v>2</v>
      </c>
      <c r="C4" s="2">
        <v>30200</v>
      </c>
      <c r="D4" s="5">
        <v>30200</v>
      </c>
      <c r="E4" s="2">
        <v>30500</v>
      </c>
      <c r="F4" s="2">
        <v>32000</v>
      </c>
      <c r="G4" s="2">
        <v>35647.58</v>
      </c>
    </row>
    <row r="5" spans="1:7" x14ac:dyDescent="0.25">
      <c r="C5" s="2"/>
      <c r="D5" s="5"/>
      <c r="E5" s="2"/>
      <c r="F5" s="2"/>
      <c r="G5" s="2"/>
    </row>
    <row r="6" spans="1:7" x14ac:dyDescent="0.25">
      <c r="A6" t="s">
        <v>3</v>
      </c>
      <c r="B6">
        <v>70000</v>
      </c>
      <c r="C6" s="2">
        <f t="shared" ref="C6:G7" si="0">C3*1.18</f>
        <v>70564</v>
      </c>
      <c r="D6" s="5">
        <f t="shared" ref="D6" si="1">D3*1.18</f>
        <v>69620</v>
      </c>
      <c r="E6" s="2">
        <f t="shared" si="0"/>
        <v>74930</v>
      </c>
      <c r="F6" s="2">
        <f t="shared" si="0"/>
        <v>85786</v>
      </c>
      <c r="G6" s="2">
        <f t="shared" si="0"/>
        <v>96106.751999999993</v>
      </c>
    </row>
    <row r="7" spans="1:7" x14ac:dyDescent="0.25">
      <c r="A7" t="s">
        <v>4</v>
      </c>
      <c r="B7">
        <v>40000</v>
      </c>
      <c r="C7" s="2">
        <f t="shared" si="0"/>
        <v>35636</v>
      </c>
      <c r="D7" s="5">
        <f t="shared" ref="D7" si="2">D4*1.18</f>
        <v>35636</v>
      </c>
      <c r="E7" s="2">
        <f t="shared" si="0"/>
        <v>35990</v>
      </c>
      <c r="F7" s="2">
        <f t="shared" si="0"/>
        <v>37760</v>
      </c>
      <c r="G7" s="2">
        <f t="shared" si="0"/>
        <v>42064.144399999997</v>
      </c>
    </row>
    <row r="9" spans="1:7" x14ac:dyDescent="0.25">
      <c r="B9" s="2">
        <f t="shared" ref="B9:G9" si="3">SUM(B6:B8)</f>
        <v>110000</v>
      </c>
      <c r="C9" s="2">
        <f t="shared" si="3"/>
        <v>106200</v>
      </c>
      <c r="D9" s="5">
        <f t="shared" si="3"/>
        <v>105256</v>
      </c>
      <c r="E9" s="2">
        <f t="shared" si="3"/>
        <v>110920</v>
      </c>
      <c r="F9" s="2">
        <f t="shared" si="3"/>
        <v>123546</v>
      </c>
      <c r="G9" s="2">
        <f t="shared" si="3"/>
        <v>138170.8964</v>
      </c>
    </row>
    <row r="11" spans="1:7" x14ac:dyDescent="0.25">
      <c r="A11">
        <v>50</v>
      </c>
      <c r="B11" s="2">
        <f>B9*A11</f>
        <v>5500000</v>
      </c>
      <c r="C11" s="2">
        <f>C9*A11</f>
        <v>5310000</v>
      </c>
      <c r="D11" s="5">
        <f>D9*A11</f>
        <v>5262800</v>
      </c>
      <c r="E11" s="2">
        <f>E9*A11</f>
        <v>5546000</v>
      </c>
      <c r="F11" s="2">
        <f>F9*A11</f>
        <v>6177300</v>
      </c>
      <c r="G11" s="2">
        <f>G9*A11</f>
        <v>6908544.8200000003</v>
      </c>
    </row>
    <row r="13" spans="1:7" x14ac:dyDescent="0.25">
      <c r="A13" t="s">
        <v>8</v>
      </c>
      <c r="B13" s="2"/>
      <c r="C13" s="2">
        <f>C11-B11</f>
        <v>-190000</v>
      </c>
      <c r="D13" s="5">
        <f>D11-B11</f>
        <v>-237200</v>
      </c>
      <c r="E13" s="2">
        <f>E11-B11</f>
        <v>46000</v>
      </c>
      <c r="F13" s="2">
        <f>F11-B11</f>
        <v>677300</v>
      </c>
      <c r="G13" s="2">
        <f>G11-B11</f>
        <v>1408544.8200000003</v>
      </c>
    </row>
  </sheetData>
  <printOptions gridLines="1"/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 C Shah, 21398</dc:creator>
  <cp:lastModifiedBy>Sandip C Shah, 21398</cp:lastModifiedBy>
  <cp:lastPrinted>2022-07-11T06:30:33Z</cp:lastPrinted>
  <dcterms:created xsi:type="dcterms:W3CDTF">2022-07-04T11:14:40Z</dcterms:created>
  <dcterms:modified xsi:type="dcterms:W3CDTF">2022-07-13T03:58:34Z</dcterms:modified>
</cp:coreProperties>
</file>