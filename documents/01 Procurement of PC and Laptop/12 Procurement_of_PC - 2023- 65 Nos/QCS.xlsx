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3- 65 Nos\"/>
    </mc:Choice>
  </mc:AlternateContent>
  <xr:revisionPtr revIDLastSave="0" documentId="13_ncr:1_{6DAFBCA6-8647-4281-8DB3-34F5AD05AF0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9" i="1"/>
  <c r="G7" i="1"/>
  <c r="F9" i="1"/>
  <c r="F7" i="1"/>
  <c r="L9" i="1"/>
  <c r="I7" i="1"/>
  <c r="J7" i="1" s="1"/>
  <c r="M9" i="1"/>
  <c r="O9" i="1"/>
  <c r="P9" i="1" s="1"/>
  <c r="O7" i="1"/>
  <c r="P7" i="1" s="1"/>
  <c r="L7" i="1"/>
  <c r="M7" i="1" s="1"/>
  <c r="I9" i="1"/>
  <c r="J9" i="1" s="1"/>
  <c r="D9" i="1"/>
  <c r="D7" i="1"/>
  <c r="G11" i="1" l="1"/>
  <c r="D11" i="1"/>
  <c r="J11" i="1"/>
  <c r="P11" i="1"/>
  <c r="M11" i="1"/>
  <c r="M13" i="1" s="1"/>
  <c r="P13" i="1" l="1"/>
  <c r="J13" i="1"/>
  <c r="D13" i="1"/>
</calcChain>
</file>

<file path=xl/sharedStrings.xml><?xml version="1.0" encoding="utf-8"?>
<sst xmlns="http://schemas.openxmlformats.org/spreadsheetml/2006/main" count="7" uniqueCount="7">
  <si>
    <t xml:space="preserve">Personal Computers </t>
  </si>
  <si>
    <t xml:space="preserve">Microsoft Office </t>
  </si>
  <si>
    <t>Estimated</t>
  </si>
  <si>
    <t>TM Solutech</t>
  </si>
  <si>
    <t>Jupiter</t>
  </si>
  <si>
    <t>Silver Touch</t>
  </si>
  <si>
    <t xml:space="preserve">TM Solutech
Negotiation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</si>
</sst>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Garamond"/>
      <family val="1"/>
    </font>
    <font>
      <b/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13"/>
  <sheetViews>
    <sheetView tabSelected="1" workbookViewId="0">
      <selection activeCell="G7" sqref="G7"/>
    </sheetView>
  </sheetViews>
  <sheetFormatPr defaultRowHeight="15" x14ac:dyDescent="0.25"/>
  <cols>
    <col min="1" max="1" width="22.140625" bestFit="1" customWidth="1"/>
    <col min="2" max="2" width="3" bestFit="1" customWidth="1"/>
    <col min="3" max="3" width="9.85546875" bestFit="1" customWidth="1"/>
    <col min="4" max="8" width="10.42578125" customWidth="1"/>
    <col min="9" max="9" width="8.28515625" customWidth="1"/>
    <col min="12" max="12" width="9.140625" customWidth="1"/>
  </cols>
  <sheetData>
    <row r="3" spans="1:17" ht="30" customHeight="1" x14ac:dyDescent="0.25">
      <c r="C3" s="5" t="s">
        <v>2</v>
      </c>
      <c r="D3" s="5"/>
      <c r="F3" s="6" t="s">
        <v>6</v>
      </c>
      <c r="G3" s="5"/>
      <c r="I3" s="5" t="s">
        <v>3</v>
      </c>
      <c r="J3" s="5"/>
      <c r="K3" s="4"/>
      <c r="L3" s="5" t="s">
        <v>4</v>
      </c>
      <c r="M3" s="5"/>
      <c r="O3" s="5" t="s">
        <v>5</v>
      </c>
      <c r="P3" s="5"/>
    </row>
    <row r="7" spans="1:17" x14ac:dyDescent="0.25">
      <c r="A7" s="2" t="s">
        <v>1</v>
      </c>
      <c r="B7" s="3">
        <v>65</v>
      </c>
      <c r="C7" s="3">
        <v>36000</v>
      </c>
      <c r="D7" s="3">
        <f>C7*B7</f>
        <v>2340000</v>
      </c>
      <c r="E7" s="3"/>
      <c r="F7" s="3">
        <f>(31250*1.18)</f>
        <v>36875</v>
      </c>
      <c r="G7" s="7">
        <f>B7*F7</f>
        <v>2396875</v>
      </c>
      <c r="H7" s="3"/>
      <c r="I7" s="3">
        <f>(31676*1.18)</f>
        <v>37377.68</v>
      </c>
      <c r="J7" s="3">
        <f>B7*I7</f>
        <v>2429549.2000000002</v>
      </c>
      <c r="K7" s="3"/>
      <c r="L7" s="3">
        <f>32100*1.18</f>
        <v>37878</v>
      </c>
      <c r="M7" s="3">
        <f>L7*B7</f>
        <v>2462070</v>
      </c>
      <c r="N7" s="3"/>
      <c r="O7" s="3">
        <f>31042*1.18</f>
        <v>36629.56</v>
      </c>
      <c r="P7" s="3">
        <f>B7*O7</f>
        <v>2380921.4</v>
      </c>
      <c r="Q7" s="3"/>
    </row>
    <row r="8" spans="1:17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5.75" x14ac:dyDescent="0.25">
      <c r="A9" s="1" t="s">
        <v>0</v>
      </c>
      <c r="B9" s="3">
        <v>65</v>
      </c>
      <c r="C9" s="3">
        <v>70000</v>
      </c>
      <c r="D9" s="3">
        <f>C9*B9</f>
        <v>4550000</v>
      </c>
      <c r="E9" s="3"/>
      <c r="F9" s="3">
        <f>54350*1.18</f>
        <v>64133</v>
      </c>
      <c r="G9" s="7">
        <f>B9*F9</f>
        <v>4168645</v>
      </c>
      <c r="H9" s="3"/>
      <c r="I9" s="3">
        <f>54500*1.18</f>
        <v>64310</v>
      </c>
      <c r="J9" s="3">
        <f>B9*I9</f>
        <v>4180150</v>
      </c>
      <c r="K9" s="3"/>
      <c r="L9" s="3">
        <f>66250*1.18</f>
        <v>78175</v>
      </c>
      <c r="M9" s="3">
        <f>B9*L9</f>
        <v>5081375</v>
      </c>
      <c r="N9" s="3"/>
      <c r="O9" s="3">
        <f>67122*1.18</f>
        <v>79203.959999999992</v>
      </c>
      <c r="P9" s="3">
        <f>B9*O9</f>
        <v>5148257.3999999994</v>
      </c>
      <c r="Q9" s="3"/>
    </row>
    <row r="11" spans="1:17" x14ac:dyDescent="0.25">
      <c r="D11" s="3">
        <f>SUM(D7:D10)</f>
        <v>6890000</v>
      </c>
      <c r="E11" s="3"/>
      <c r="F11" s="3"/>
      <c r="G11" s="7">
        <f>SUM(G7:G10)</f>
        <v>6565520</v>
      </c>
      <c r="H11" s="3"/>
      <c r="J11" s="3">
        <f>SUM(J7:J10)</f>
        <v>6609699.2000000002</v>
      </c>
      <c r="M11" s="3">
        <f>SUM(M7:M10)</f>
        <v>7543445</v>
      </c>
      <c r="P11" s="3">
        <f>SUM(P7:P10)</f>
        <v>7529178.7999999989</v>
      </c>
    </row>
    <row r="13" spans="1:17" x14ac:dyDescent="0.25">
      <c r="D13">
        <f>100 - (J11/D11*100)</f>
        <v>4.0682264150943297</v>
      </c>
      <c r="G13">
        <f>(G11/D11*100)-100</f>
        <v>-4.709433962264157</v>
      </c>
      <c r="J13">
        <f>(J11/D11*100)-100</f>
        <v>-4.0682264150943297</v>
      </c>
      <c r="M13">
        <f>(M11/D11*100)-100</f>
        <v>9.4839622641509322</v>
      </c>
      <c r="P13">
        <f>(P11/D11*100)-100</f>
        <v>9.2769056603773379</v>
      </c>
    </row>
  </sheetData>
  <mergeCells count="5">
    <mergeCell ref="I3:J3"/>
    <mergeCell ref="L3:M3"/>
    <mergeCell ref="O3:P3"/>
    <mergeCell ref="C3:D3"/>
    <mergeCell ref="F3:G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 - 21398</dc:creator>
  <cp:lastModifiedBy>Sandip C Shah - 21398</cp:lastModifiedBy>
  <dcterms:created xsi:type="dcterms:W3CDTF">2015-06-05T18:17:20Z</dcterms:created>
  <dcterms:modified xsi:type="dcterms:W3CDTF">2023-08-08T04:57:28Z</dcterms:modified>
</cp:coreProperties>
</file>