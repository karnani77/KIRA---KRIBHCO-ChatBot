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10.0.1.54\ms_dept\01_Procurement\Enquiry_mpr\Enq\Procurement of PC and Laptop\Procurement_of_PC - 2022 -35 Nos\"/>
    </mc:Choice>
  </mc:AlternateContent>
  <xr:revisionPtr revIDLastSave="0" documentId="13_ncr:1_{1DC4EBD4-7F3A-4F3B-BA6F-48B322E9D7BE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" i="1" l="1"/>
  <c r="D10" i="1"/>
  <c r="D9" i="1"/>
  <c r="D12" i="1" l="1"/>
  <c r="D14" i="1" s="1"/>
  <c r="B12" i="1"/>
  <c r="B14" i="1" s="1"/>
  <c r="D16" i="1" l="1"/>
  <c r="C10" i="1"/>
  <c r="C9" i="1"/>
  <c r="G10" i="1"/>
  <c r="G9" i="1"/>
  <c r="F10" i="1"/>
  <c r="F9" i="1"/>
  <c r="E10" i="1"/>
  <c r="E9" i="1"/>
  <c r="E12" i="1" l="1"/>
  <c r="E14" i="1" s="1"/>
  <c r="E16" i="1" s="1"/>
  <c r="G12" i="1"/>
  <c r="G14" i="1" s="1"/>
  <c r="G16" i="1" s="1"/>
  <c r="F12" i="1"/>
  <c r="F14" i="1" s="1"/>
  <c r="F16" i="1" s="1"/>
  <c r="C12" i="1"/>
  <c r="C14" i="1" s="1"/>
  <c r="C16" i="1" s="1"/>
</calcChain>
</file>

<file path=xl/sharedStrings.xml><?xml version="1.0" encoding="utf-8"?>
<sst xmlns="http://schemas.openxmlformats.org/spreadsheetml/2006/main" count="41" uniqueCount="40">
  <si>
    <t>Innovative-Lenovo ThinkCentre M80s Gen3</t>
  </si>
  <si>
    <t>PC</t>
  </si>
  <si>
    <t>MS Office</t>
  </si>
  <si>
    <t>PC with GST</t>
  </si>
  <si>
    <t>MS Office GST</t>
  </si>
  <si>
    <t>Jupiter-
HP Elite Tower 600 G9</t>
  </si>
  <si>
    <t xml:space="preserve">TM Solutech 
Acer Veriton 200 </t>
  </si>
  <si>
    <t xml:space="preserve">D V Networks
Lenovo ThinkCentre M80s Gen3 </t>
  </si>
  <si>
    <t xml:space="preserve">Difference </t>
  </si>
  <si>
    <t>Estimated</t>
  </si>
  <si>
    <t>After  Negotiation</t>
  </si>
  <si>
    <t>ACER Veriton M200-H510 - PO 5017702</t>
  </si>
  <si>
    <t>Price Rs : 61000+18% gst extra per unit</t>
  </si>
  <si>
    <t>Office LTSC Standard 2021 Commercial</t>
  </si>
  <si>
    <t>INR 32500 +18% GST extra per lic</t>
  </si>
  <si>
    <t>/ Ci5 12400 /512GB SATA SSD / 512GB Nvme / 8GB/ USB KYD &amp; Mouse / Win 11 Pro downgrade to Win 10 / 19.5WTFT/ Wty 3-3-3</t>
  </si>
  <si>
    <t xml:space="preserve">D V Networks
B660 S2680G </t>
  </si>
  <si>
    <t>Jupiter
Acer Veriton B560 S2680G</t>
  </si>
  <si>
    <t>DELL OPTIPLEX 5000 MT DESKTOP.</t>
  </si>
  <si>
    <t>                                           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</si>
  <si>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r>
      <t>INTELCORE I5 12</t>
    </r>
    <r>
      <rPr>
        <b/>
        <vertAlign val="superscript"/>
        <sz val="12"/>
        <color theme="1"/>
        <rFont val="Cambria"/>
        <family val="1"/>
      </rPr>
      <t>TH</t>
    </r>
    <r>
      <rPr>
        <b/>
        <sz val="12"/>
        <color theme="1"/>
        <rFont val="Cambria"/>
        <family val="1"/>
      </rPr>
      <t xml:space="preserve"> GEN PROCESSOR,</t>
    </r>
  </si>
  <si>
    <t>8 GB DDR4 RAM,</t>
  </si>
  <si>
    <t>256 GB SSD + 1 TB HARD DISK,</t>
  </si>
  <si>
    <t>WINDOWS 10 PROFESSIONAL, UPGRADE TO WINDOWS 11 PRO.</t>
  </si>
  <si>
    <t>NO ODD, 21.5” (E2222H) LED,</t>
  </si>
  <si>
    <t>KEYBOARD,MOUSE, 3 YRS WARRANTY.</t>
  </si>
  <si>
    <t xml:space="preserve"># 66,850 + 18% GST. </t>
  </si>
  <si>
    <r>
      <t>Office LTSC Standard 2021 (DG7GMGF0D7FZ:0002) Rs.31312 +18 %</t>
    </r>
    <r>
      <rPr>
        <sz val="12"/>
        <color rgb="FF000000"/>
        <rFont val="Cambria"/>
        <family val="1"/>
      </rPr>
      <t xml:space="preserve"> </t>
    </r>
  </si>
  <si>
    <t>Rubik
DELL OPTIPLEX 5000 MT</t>
  </si>
  <si>
    <t>H610/ Ci5 12400 /512GB SATA SSD / 512GB Nvme / 8GB/ USB KYD &amp; Mouse / Win 11 Pro downgrade to Win 10 / 19.5WTFT/ Wty 3-3-3</t>
  </si>
  <si>
    <t>Price Rs : 60000+18% gst extra per unit</t>
  </si>
  <si>
    <t>ACER VERITON M200 DESKTOP,INTEL CORE I5-11400 2.6GHZ BASE,12 THREADES,12 MB CACHE,6 CORE,H 510 CHIPSET,8 GB X 2 DDR4, 512 GB M.2 NVMe SSD, 512 GB SATA SSD, 19.5 INCHE MONITOR, 4 USB 2.0 + 4 USB 3.1 G1,1 VGA + 1 HDMI,WINDOWS 10 PRO, 3 YRS WARRANTY .</t>
  </si>
  <si>
    <t xml:space="preserve">          </t>
  </si>
  <si>
    <t xml:space="preserve">   63,630/- </t>
  </si>
  <si>
    <t>    22,27,050/-</t>
  </si>
  <si>
    <t xml:space="preserve">MICROSOFT OFFICE </t>
  </si>
  <si>
    <t> 35</t>
  </si>
  <si>
    <t xml:space="preserve">    30,512/-      </t>
  </si>
  <si>
    <t>       Rs.10,67,920/-</t>
  </si>
  <si>
    <t xml:space="preserve">Rubik
ACER VERITON M200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</si>
</sst>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mbria"/>
      <family val="1"/>
    </font>
    <font>
      <b/>
      <vertAlign val="superscript"/>
      <sz val="12"/>
      <color theme="1"/>
      <name val="Cambria"/>
      <family val="1"/>
    </font>
    <font>
      <sz val="12"/>
      <color rgb="FF000000"/>
      <name val="Cambria"/>
      <family val="1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  <xf numFmtId="14" fontId="0" fillId="0" borderId="0" xfId="0" applyNumberFormat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4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5" xfId="0" applyBorder="1" applyAlignment="1">
      <alignment wrapText="1"/>
    </xf>
    <xf numFmtId="3" fontId="0" fillId="0" borderId="0" xfId="0" applyNumberFormat="1" applyBorder="1"/>
    <xf numFmtId="3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right" wrapText="1"/>
    </xf>
    <xf numFmtId="0" fontId="0" fillId="0" borderId="0" xfId="0" applyFill="1"/>
    <xf numFmtId="0" fontId="0" fillId="0" borderId="0" xfId="0" applyFill="1" applyBorder="1"/>
    <xf numFmtId="0" fontId="0" fillId="0" borderId="7" xfId="0" applyFill="1" applyBorder="1"/>
    <xf numFmtId="0" fontId="0" fillId="2" borderId="0" xfId="0" applyFill="1" applyBorder="1"/>
    <xf numFmtId="3" fontId="0" fillId="2" borderId="0" xfId="0" applyNumberFormat="1" applyFill="1" applyBorder="1"/>
    <xf numFmtId="0" fontId="0" fillId="2" borderId="0" xfId="0" applyFill="1" applyBorder="1" applyAlignment="1">
      <alignment horizontal="right" wrapText="1"/>
    </xf>
    <xf numFmtId="0" fontId="0" fillId="0" borderId="0" xfId="0" applyAlignment="1">
      <alignment vertical="center"/>
    </xf>
    <xf numFmtId="3" fontId="0" fillId="0" borderId="0" xfId="0" applyNumberFormat="1" applyFill="1" applyBorder="1"/>
    <xf numFmtId="0" fontId="1" fillId="0" borderId="0" xfId="0" applyFont="1" applyAlignment="1">
      <alignment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9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31"/>
  <sheetViews>
    <sheetView tabSelected="1" workbookViewId="0">
      <selection activeCell="P4" sqref="P4"/>
    </sheetView>
  </sheetViews>
  <sheetFormatPr defaultRowHeight="15" x14ac:dyDescent="0.25"/>
  <cols>
    <col min="1" max="1" width="13.42578125" bestFit="1" customWidth="1"/>
    <col min="2" max="2" width="9.85546875" bestFit="1" customWidth="1"/>
    <col min="3" max="3" width="15.7109375" bestFit="1" customWidth="1"/>
    <col min="4" max="4" width="11.5703125" style="16" bestFit="1" customWidth="1"/>
    <col min="5" max="5" width="12.7109375" bestFit="1" customWidth="1"/>
    <col min="6" max="6" width="14.42578125" customWidth="1"/>
    <col min="7" max="7" width="11.7109375" customWidth="1"/>
    <col min="9" max="9" width="10.42578125" bestFit="1" customWidth="1"/>
    <col min="10" max="10" width="10.42578125" customWidth="1"/>
    <col min="16" max="16" width="114.42578125" bestFit="1" customWidth="1"/>
  </cols>
  <sheetData>
    <row r="2" spans="1:16" x14ac:dyDescent="0.25">
      <c r="A2" s="25" t="s">
        <v>11</v>
      </c>
      <c r="B2" s="26"/>
      <c r="C2" s="26"/>
      <c r="D2" s="26"/>
      <c r="E2" s="26"/>
      <c r="F2" s="26"/>
      <c r="G2" s="27"/>
    </row>
    <row r="3" spans="1:16" x14ac:dyDescent="0.25">
      <c r="A3" s="4"/>
      <c r="B3" s="5"/>
      <c r="C3" s="5"/>
      <c r="D3" s="17"/>
      <c r="E3" s="5"/>
      <c r="F3" s="5"/>
      <c r="G3" s="6"/>
      <c r="I3" s="3">
        <v>44908</v>
      </c>
    </row>
    <row r="4" spans="1:16" s="1" customFormat="1" ht="75" x14ac:dyDescent="0.25">
      <c r="A4" s="7"/>
      <c r="B4" s="8" t="s">
        <v>9</v>
      </c>
      <c r="C4" s="8" t="s">
        <v>6</v>
      </c>
      <c r="D4" s="21" t="s">
        <v>10</v>
      </c>
      <c r="E4" s="8" t="s">
        <v>5</v>
      </c>
      <c r="F4" s="8" t="s">
        <v>7</v>
      </c>
      <c r="G4" s="9" t="s">
        <v>0</v>
      </c>
      <c r="I4" s="15" t="s">
        <v>17</v>
      </c>
      <c r="J4" s="15" t="s">
        <v>16</v>
      </c>
      <c r="K4" s="1" t="s">
        <v>28</v>
      </c>
      <c r="L4" s="15" t="s">
        <v>16</v>
      </c>
      <c r="M4" s="15" t="s">
        <v>39</v>
      </c>
    </row>
    <row r="5" spans="1:16" x14ac:dyDescent="0.25">
      <c r="A5" s="4"/>
      <c r="B5" s="5"/>
      <c r="C5" s="5"/>
      <c r="D5" s="19"/>
      <c r="E5" s="5"/>
      <c r="F5" s="5"/>
      <c r="G5" s="6"/>
    </row>
    <row r="6" spans="1:16" x14ac:dyDescent="0.25">
      <c r="A6" s="4" t="s">
        <v>1</v>
      </c>
      <c r="B6" s="5"/>
      <c r="C6" s="10">
        <v>59800</v>
      </c>
      <c r="D6" s="20">
        <v>59000</v>
      </c>
      <c r="E6" s="10">
        <v>63500</v>
      </c>
      <c r="F6" s="10">
        <v>72700</v>
      </c>
      <c r="G6" s="11">
        <v>81446.399999999994</v>
      </c>
      <c r="I6" s="2">
        <v>53500</v>
      </c>
      <c r="J6" s="23">
        <v>61000</v>
      </c>
      <c r="K6" s="23">
        <v>66850</v>
      </c>
      <c r="L6" s="23">
        <v>61000</v>
      </c>
      <c r="M6" s="23">
        <v>63630</v>
      </c>
      <c r="N6" s="2">
        <f>AVERAGE(I6:M6)</f>
        <v>61196</v>
      </c>
    </row>
    <row r="7" spans="1:16" x14ac:dyDescent="0.25">
      <c r="A7" s="4" t="s">
        <v>2</v>
      </c>
      <c r="B7" s="5"/>
      <c r="C7" s="10">
        <v>30200</v>
      </c>
      <c r="D7" s="20">
        <v>30200</v>
      </c>
      <c r="E7" s="10">
        <v>30500</v>
      </c>
      <c r="F7" s="10">
        <v>32000</v>
      </c>
      <c r="G7" s="11">
        <v>35647.58</v>
      </c>
      <c r="J7" s="23">
        <v>32500</v>
      </c>
      <c r="K7">
        <v>31312</v>
      </c>
      <c r="L7" s="23">
        <v>32500</v>
      </c>
      <c r="M7" s="23">
        <v>30512</v>
      </c>
      <c r="P7" s="22" t="s">
        <v>15</v>
      </c>
    </row>
    <row r="8" spans="1:16" x14ac:dyDescent="0.25">
      <c r="A8" s="4"/>
      <c r="B8" s="5"/>
      <c r="C8" s="10"/>
      <c r="D8" s="20"/>
      <c r="E8" s="10"/>
      <c r="F8" s="10"/>
      <c r="G8" s="11"/>
      <c r="P8" s="22"/>
    </row>
    <row r="9" spans="1:16" x14ac:dyDescent="0.25">
      <c r="A9" s="4" t="s">
        <v>3</v>
      </c>
      <c r="B9" s="5">
        <v>70000</v>
      </c>
      <c r="C9" s="10">
        <f t="shared" ref="C9:G10" si="0">C6*1.18</f>
        <v>70564</v>
      </c>
      <c r="D9" s="20">
        <f t="shared" ref="D9" si="1">D6*1.18</f>
        <v>69620</v>
      </c>
      <c r="E9" s="10">
        <f t="shared" si="0"/>
        <v>74930</v>
      </c>
      <c r="F9" s="10">
        <f t="shared" si="0"/>
        <v>85786</v>
      </c>
      <c r="G9" s="11">
        <f t="shared" si="0"/>
        <v>96106.751999999993</v>
      </c>
      <c r="P9" s="22" t="s">
        <v>12</v>
      </c>
    </row>
    <row r="10" spans="1:16" x14ac:dyDescent="0.25">
      <c r="A10" s="4" t="s">
        <v>4</v>
      </c>
      <c r="B10" s="5">
        <v>40000</v>
      </c>
      <c r="C10" s="10">
        <f t="shared" si="0"/>
        <v>35636</v>
      </c>
      <c r="D10" s="20">
        <f t="shared" ref="D10" si="2">D7*1.18</f>
        <v>35636</v>
      </c>
      <c r="E10" s="10">
        <f t="shared" si="0"/>
        <v>35990</v>
      </c>
      <c r="F10" s="10">
        <f t="shared" si="0"/>
        <v>37760</v>
      </c>
      <c r="G10" s="11">
        <f t="shared" si="0"/>
        <v>42064.144399999997</v>
      </c>
      <c r="P10" s="22"/>
    </row>
    <row r="11" spans="1:16" x14ac:dyDescent="0.25">
      <c r="A11" s="4"/>
      <c r="B11" s="5"/>
      <c r="C11" s="5"/>
      <c r="D11" s="19"/>
      <c r="E11" s="5"/>
      <c r="F11" s="5"/>
      <c r="G11" s="6"/>
      <c r="P11" s="22" t="s">
        <v>13</v>
      </c>
    </row>
    <row r="12" spans="1:16" x14ac:dyDescent="0.25">
      <c r="A12" s="4"/>
      <c r="B12" s="10">
        <f t="shared" ref="B12:G12" si="3">SUM(B9:B11)</f>
        <v>110000</v>
      </c>
      <c r="C12" s="10">
        <f t="shared" si="3"/>
        <v>106200</v>
      </c>
      <c r="D12" s="20">
        <f t="shared" si="3"/>
        <v>105256</v>
      </c>
      <c r="E12" s="10">
        <f t="shared" si="3"/>
        <v>110920</v>
      </c>
      <c r="F12" s="10">
        <f t="shared" si="3"/>
        <v>123546</v>
      </c>
      <c r="G12" s="11">
        <f t="shared" si="3"/>
        <v>138170.8964</v>
      </c>
      <c r="P12" s="22" t="s">
        <v>14</v>
      </c>
    </row>
    <row r="13" spans="1:16" x14ac:dyDescent="0.25">
      <c r="A13" s="4"/>
      <c r="B13" s="5"/>
      <c r="C13" s="5"/>
      <c r="D13" s="19"/>
      <c r="E13" s="5"/>
      <c r="F13" s="5"/>
      <c r="G13" s="6"/>
    </row>
    <row r="14" spans="1:16" ht="15.75" x14ac:dyDescent="0.25">
      <c r="A14" s="4">
        <v>50</v>
      </c>
      <c r="B14" s="10">
        <f>B12*A14</f>
        <v>5500000</v>
      </c>
      <c r="C14" s="10">
        <f>C12*A14</f>
        <v>5310000</v>
      </c>
      <c r="D14" s="20">
        <f>D12*A14</f>
        <v>5262800</v>
      </c>
      <c r="E14" s="10">
        <f>E12*A14</f>
        <v>5546000</v>
      </c>
      <c r="F14" s="10">
        <f>F12*A14</f>
        <v>6177300</v>
      </c>
      <c r="G14" s="11">
        <f>G12*A14</f>
        <v>6908544.8200000003</v>
      </c>
      <c r="P14" s="24" t="s">
        <v>18</v>
      </c>
    </row>
    <row r="15" spans="1:16" ht="15.75" x14ac:dyDescent="0.25">
      <c r="A15" s="4"/>
      <c r="B15" s="5"/>
      <c r="C15" s="5"/>
      <c r="D15" s="19"/>
      <c r="E15" s="5"/>
      <c r="F15" s="5"/>
      <c r="G15" s="6"/>
      <c r="P15" s="24" t="s">
        <v>19</v>
      </c>
    </row>
    <row r="16" spans="1:16" ht="18" x14ac:dyDescent="0.25">
      <c r="A16" s="4" t="s">
        <v>8</v>
      </c>
      <c r="B16" s="10"/>
      <c r="C16" s="10">
        <f>C14-B14</f>
        <v>-190000</v>
      </c>
      <c r="D16" s="20">
        <f>D14-B14</f>
        <v>-237200</v>
      </c>
      <c r="E16" s="10">
        <f>E14-B14</f>
        <v>46000</v>
      </c>
      <c r="F16" s="10">
        <f>F14-B14</f>
        <v>677300</v>
      </c>
      <c r="G16" s="11">
        <f>G14-B14</f>
        <v>1408544.8200000003</v>
      </c>
      <c r="P16" s="24" t="s">
        <v>20</v>
      </c>
    </row>
    <row r="17" spans="1:19" ht="15.75" x14ac:dyDescent="0.25">
      <c r="A17" s="4"/>
      <c r="B17" s="5"/>
      <c r="C17" s="5"/>
      <c r="D17" s="17"/>
      <c r="E17" s="5"/>
      <c r="F17" s="5"/>
      <c r="G17" s="6"/>
      <c r="P17" s="24" t="s">
        <v>21</v>
      </c>
    </row>
    <row r="18" spans="1:19" ht="15.75" x14ac:dyDescent="0.25">
      <c r="A18" s="12"/>
      <c r="B18" s="13"/>
      <c r="C18" s="13"/>
      <c r="D18" s="18"/>
      <c r="E18" s="13"/>
      <c r="F18" s="13"/>
      <c r="G18" s="14"/>
      <c r="P18" s="24" t="s">
        <v>22</v>
      </c>
    </row>
    <row r="19" spans="1:19" ht="15.75" x14ac:dyDescent="0.25">
      <c r="P19" s="24" t="s">
        <v>23</v>
      </c>
    </row>
    <row r="20" spans="1:19" ht="15.75" x14ac:dyDescent="0.25">
      <c r="P20" s="24" t="s">
        <v>24</v>
      </c>
    </row>
    <row r="21" spans="1:19" ht="15.75" x14ac:dyDescent="0.25">
      <c r="P21" s="24" t="s">
        <v>25</v>
      </c>
    </row>
    <row r="22" spans="1:19" ht="15.75" x14ac:dyDescent="0.25">
      <c r="P22" s="24" t="s">
        <v>26</v>
      </c>
    </row>
    <row r="23" spans="1:19" ht="15.75" x14ac:dyDescent="0.25">
      <c r="P23" s="24" t="s">
        <v>27</v>
      </c>
    </row>
    <row r="25" spans="1:19" x14ac:dyDescent="0.25">
      <c r="P25" s="22" t="s">
        <v>29</v>
      </c>
    </row>
    <row r="26" spans="1:19" x14ac:dyDescent="0.25">
      <c r="P26" s="22" t="s">
        <v>30</v>
      </c>
    </row>
    <row r="29" spans="1:19" ht="15.75" x14ac:dyDescent="0.25">
      <c r="P29" s="31" t="s">
        <v>31</v>
      </c>
      <c r="Q29" s="29"/>
      <c r="R29" s="29" t="s">
        <v>32</v>
      </c>
      <c r="S29" s="29"/>
    </row>
    <row r="30" spans="1:19" ht="32.25" thickBot="1" x14ac:dyDescent="0.3">
      <c r="P30" s="32"/>
      <c r="Q30" s="30">
        <v>35</v>
      </c>
      <c r="R30" s="30" t="s">
        <v>33</v>
      </c>
      <c r="S30" s="30" t="s">
        <v>34</v>
      </c>
    </row>
    <row r="31" spans="1:19" ht="48" thickBot="1" x14ac:dyDescent="0.3">
      <c r="P31" s="28" t="s">
        <v>35</v>
      </c>
      <c r="Q31" s="30" t="s">
        <v>36</v>
      </c>
      <c r="R31" s="30" t="s">
        <v>37</v>
      </c>
      <c r="S31" s="30" t="s">
        <v>38</v>
      </c>
    </row>
  </sheetData>
  <mergeCells count="2">
    <mergeCell ref="A2:G2"/>
    <mergeCell ref="P29:P30"/>
  </mergeCells>
  <printOptions gridLines="1"/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Sandip C Shah, 21398</dc:creator>
  <cp:lastModifiedBy>Sandip C Shah - 21398</cp:lastModifiedBy>
  <cp:lastPrinted>2022-12-19T04:35:57Z</cp:lastPrinted>
  <dcterms:created xsi:type="dcterms:W3CDTF">2022-07-04T11:14:40Z</dcterms:created>
  <dcterms:modified xsi:type="dcterms:W3CDTF">2022-12-19T06:15:06Z</dcterms:modified>
</cp:coreProperties>
</file>