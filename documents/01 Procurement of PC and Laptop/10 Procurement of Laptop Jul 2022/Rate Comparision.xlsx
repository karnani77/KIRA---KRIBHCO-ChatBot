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 of Laptop Jul 2022\"/>
    </mc:Choice>
  </mc:AlternateContent>
  <bookViews>
    <workbookView xWindow="0" yWindow="0" windowWidth="20490" windowHeight="7500"/>
  </bookViews>
  <sheets>
    <sheet name="Sheet1" sheetId="1" r:id="rId1"/>
  </sheets>
  <definedNames>
    <definedName name="_xlnm.Print_Area" localSheetId="0">Sheet1!$A$2:$J$13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9" i="1"/>
  <c r="E8" i="1"/>
  <c r="E10" i="1" s="1"/>
  <c r="E6" i="1"/>
  <c r="E12" i="1" l="1"/>
  <c r="E14" i="1" s="1"/>
  <c r="J10" i="1"/>
  <c r="J12" i="1" s="1"/>
  <c r="J14" i="1" s="1"/>
  <c r="H9" i="1"/>
  <c r="G9" i="1"/>
  <c r="F9" i="1"/>
  <c r="D9" i="1"/>
  <c r="C9" i="1"/>
  <c r="H8" i="1"/>
  <c r="G8" i="1"/>
  <c r="F8" i="1"/>
  <c r="D8" i="1"/>
  <c r="H6" i="1"/>
  <c r="G6" i="1"/>
  <c r="F6" i="1"/>
  <c r="D6" i="1"/>
  <c r="C6" i="1"/>
  <c r="C8" i="1"/>
  <c r="H10" i="1" l="1"/>
  <c r="H12" i="1" s="1"/>
  <c r="H14" i="1" s="1"/>
  <c r="G10" i="1"/>
  <c r="G12" i="1" s="1"/>
  <c r="G14" i="1" s="1"/>
  <c r="E18" i="1" s="1"/>
  <c r="D10" i="1"/>
  <c r="D12" i="1" s="1"/>
  <c r="D14" i="1" s="1"/>
  <c r="C10" i="1"/>
  <c r="C12" i="1" s="1"/>
  <c r="C14" i="1" s="1"/>
  <c r="F10" i="1"/>
  <c r="B6" i="1"/>
  <c r="B12" i="1" s="1"/>
  <c r="B14" i="1" s="1"/>
  <c r="F11" i="1" l="1"/>
  <c r="F12" i="1" s="1"/>
  <c r="F14" i="1" s="1"/>
</calcChain>
</file>

<file path=xl/comments1.xml><?xml version="1.0" encoding="utf-8"?>
<comments xmlns="http://schemas.openxmlformats.org/spreadsheetml/2006/main">
  <authors>
    <author>Sandip C Shah, 21398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Sandip C Shah, 21398:</t>
        </r>
        <r>
          <rPr>
            <sz val="9"/>
            <color indexed="81"/>
            <rFont val="Tahoma"/>
            <family val="2"/>
          </rPr>
          <t xml:space="preserve">
Win 10 Home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Sandip C Shah, 21398:</t>
        </r>
        <r>
          <rPr>
            <sz val="9"/>
            <color indexed="81"/>
            <rFont val="Tahoma"/>
            <family val="2"/>
          </rPr>
          <t xml:space="preserve">
WIN 10 Pro</t>
        </r>
      </text>
    </comment>
  </commentList>
</comments>
</file>

<file path=xl/sharedStrings.xml><?xml version="1.0" encoding="utf-8"?>
<sst xmlns="http://schemas.openxmlformats.org/spreadsheetml/2006/main" count="23" uniqueCount="22">
  <si>
    <t>Jupiter - HP Pro 440G8</t>
  </si>
  <si>
    <t>PR Estimation</t>
  </si>
  <si>
    <t>Laptop</t>
  </si>
  <si>
    <t>MSO-2021</t>
  </si>
  <si>
    <t>Jupiter - Lenovo Think pad E14/G2</t>
  </si>
  <si>
    <t>DV -  Lenovo K14 Gen 1</t>
  </si>
  <si>
    <t xml:space="preserve">TM- Lenovo ThinkCentre L14  </t>
  </si>
  <si>
    <t>Rubik - HP Pro 240G8</t>
  </si>
  <si>
    <t>Closed File</t>
  </si>
  <si>
    <t>Current Bid</t>
  </si>
  <si>
    <t>GST - Lap</t>
  </si>
  <si>
    <t>GST - MSO</t>
  </si>
  <si>
    <t>Final Price</t>
  </si>
  <si>
    <t>Revised</t>
  </si>
  <si>
    <t>Diff with L2</t>
  </si>
  <si>
    <t>L1</t>
  </si>
  <si>
    <t>L2</t>
  </si>
  <si>
    <t>L3</t>
  </si>
  <si>
    <t>Rubik - Negotiated Price</t>
  </si>
  <si>
    <t>L4</t>
  </si>
  <si>
    <t>Diff with Closed</t>
  </si>
  <si>
    <t>CShop -  Lenovo Thinkpad 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</si>
</sst>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horizontal="right" vertical="center" wrapText="1"/>
    </xf>
    <xf numFmtId="3" fontId="0" fillId="0" borderId="1" xfId="0" applyNumberFormat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20"/>
  <sheetViews>
    <sheetView tabSelected="1" topLeftCell="A7" workbookViewId="0">
      <selection activeCell="G19" sqref="G19"/>
    </sheetView>
  </sheetViews>
  <sheetFormatPr defaultRowHeight="15" x14ac:dyDescent="0.25"/>
  <cols>
    <col min="1" max="1" width="10.140625" style="1" customWidth="1"/>
    <col min="2" max="2" width="15" style="1" customWidth="1"/>
    <col min="3" max="8" width="16.7109375" style="1" customWidth="1"/>
    <col min="9" max="9" width="4" style="1" customWidth="1"/>
    <col min="10" max="10" width="13.140625" style="1" customWidth="1"/>
    <col min="11" max="16384" width="9.140625" style="1"/>
  </cols>
  <sheetData>
    <row r="2" spans="1:10" x14ac:dyDescent="0.25">
      <c r="A2" s="2"/>
      <c r="B2" s="2"/>
      <c r="C2" s="15" t="s">
        <v>9</v>
      </c>
      <c r="D2" s="15"/>
      <c r="E2" s="15"/>
      <c r="F2" s="15"/>
      <c r="G2" s="15"/>
      <c r="H2" s="15"/>
      <c r="I2" s="2"/>
      <c r="J2" s="12" t="s">
        <v>8</v>
      </c>
    </row>
    <row r="3" spans="1:10" ht="31.5" customHeight="1" x14ac:dyDescent="0.25">
      <c r="A3" s="2"/>
      <c r="B3" s="14" t="s">
        <v>1</v>
      </c>
      <c r="C3" s="12" t="s">
        <v>4</v>
      </c>
      <c r="D3" s="13" t="s">
        <v>7</v>
      </c>
      <c r="E3" s="3" t="s">
        <v>18</v>
      </c>
      <c r="F3" s="12" t="s">
        <v>5</v>
      </c>
      <c r="G3" s="12" t="s">
        <v>21</v>
      </c>
      <c r="H3" s="12" t="s">
        <v>6</v>
      </c>
      <c r="I3" s="2"/>
      <c r="J3" s="12" t="s">
        <v>0</v>
      </c>
    </row>
    <row r="4" spans="1:10" x14ac:dyDescent="0.25">
      <c r="A4" s="2" t="s">
        <v>2</v>
      </c>
      <c r="B4" s="4">
        <v>96000</v>
      </c>
      <c r="C4" s="4">
        <v>73100</v>
      </c>
      <c r="D4" s="5">
        <v>64350</v>
      </c>
      <c r="E4" s="5">
        <v>64350</v>
      </c>
      <c r="F4" s="4">
        <v>84400</v>
      </c>
      <c r="G4" s="4">
        <v>73364</v>
      </c>
      <c r="H4" s="4">
        <v>75950</v>
      </c>
      <c r="I4" s="2"/>
      <c r="J4" s="2"/>
    </row>
    <row r="5" spans="1:10" x14ac:dyDescent="0.25">
      <c r="A5" s="2" t="s">
        <v>3</v>
      </c>
      <c r="B5" s="4">
        <v>36000</v>
      </c>
      <c r="C5" s="4">
        <v>32500</v>
      </c>
      <c r="D5" s="5">
        <v>30612</v>
      </c>
      <c r="E5" s="5">
        <v>30200</v>
      </c>
      <c r="F5" s="4">
        <v>33500</v>
      </c>
      <c r="G5" s="4">
        <v>31312</v>
      </c>
      <c r="H5" s="4">
        <v>30200</v>
      </c>
      <c r="I5" s="2"/>
      <c r="J5" s="2"/>
    </row>
    <row r="6" spans="1:10" x14ac:dyDescent="0.25">
      <c r="A6" s="2"/>
      <c r="B6" s="4">
        <f>SUM(B4:B5)</f>
        <v>132000</v>
      </c>
      <c r="C6" s="6">
        <f>SUM(C4:C5)</f>
        <v>105600</v>
      </c>
      <c r="D6" s="7">
        <f t="shared" ref="D6:H6" si="0">SUM(D4:D5)</f>
        <v>94962</v>
      </c>
      <c r="E6" s="7">
        <f t="shared" ref="E6" si="1">SUM(E4:E5)</f>
        <v>94550</v>
      </c>
      <c r="F6" s="6">
        <f t="shared" si="0"/>
        <v>117900</v>
      </c>
      <c r="G6" s="6">
        <f t="shared" si="0"/>
        <v>104676</v>
      </c>
      <c r="H6" s="6">
        <f t="shared" si="0"/>
        <v>106150</v>
      </c>
      <c r="I6" s="2"/>
      <c r="J6" s="6">
        <v>110000</v>
      </c>
    </row>
    <row r="7" spans="1:10" x14ac:dyDescent="0.25">
      <c r="A7" s="2"/>
      <c r="B7" s="2"/>
      <c r="C7" s="2"/>
      <c r="D7" s="8"/>
      <c r="E7" s="8"/>
      <c r="F7" s="2"/>
      <c r="G7" s="2"/>
      <c r="H7" s="2"/>
      <c r="I7" s="2"/>
      <c r="J7" s="2"/>
    </row>
    <row r="8" spans="1:10" x14ac:dyDescent="0.25">
      <c r="A8" s="2" t="s">
        <v>10</v>
      </c>
      <c r="B8" s="4">
        <v>0</v>
      </c>
      <c r="C8" s="4">
        <f>ROUND(C4*18%,0)</f>
        <v>13158</v>
      </c>
      <c r="D8" s="5">
        <f t="shared" ref="D8:H8" si="2">ROUND(D4*18%,0)</f>
        <v>11583</v>
      </c>
      <c r="E8" s="5">
        <f t="shared" ref="E8" si="3">ROUND(E4*18%,0)</f>
        <v>11583</v>
      </c>
      <c r="F8" s="4">
        <f t="shared" si="2"/>
        <v>15192</v>
      </c>
      <c r="G8" s="4">
        <f t="shared" si="2"/>
        <v>13206</v>
      </c>
      <c r="H8" s="4">
        <f t="shared" si="2"/>
        <v>13671</v>
      </c>
      <c r="I8" s="2"/>
      <c r="J8" s="2"/>
    </row>
    <row r="9" spans="1:10" x14ac:dyDescent="0.25">
      <c r="A9" s="2" t="s">
        <v>11</v>
      </c>
      <c r="B9" s="2"/>
      <c r="C9" s="4">
        <f>ROUND(C5*18%,0)</f>
        <v>5850</v>
      </c>
      <c r="D9" s="5">
        <f t="shared" ref="D9:H9" si="4">ROUND(D5*18%,0)</f>
        <v>5510</v>
      </c>
      <c r="E9" s="5">
        <f t="shared" ref="E9" si="5">ROUND(E5*18%,0)</f>
        <v>5436</v>
      </c>
      <c r="F9" s="4">
        <f t="shared" si="4"/>
        <v>6030</v>
      </c>
      <c r="G9" s="4">
        <f t="shared" si="4"/>
        <v>5636</v>
      </c>
      <c r="H9" s="4">
        <f t="shared" si="4"/>
        <v>5436</v>
      </c>
      <c r="I9" s="2"/>
      <c r="J9" s="2"/>
    </row>
    <row r="10" spans="1:10" x14ac:dyDescent="0.25">
      <c r="A10" s="2"/>
      <c r="B10" s="2"/>
      <c r="C10" s="6">
        <f>SUM(C8:C9)</f>
        <v>19008</v>
      </c>
      <c r="D10" s="7">
        <f t="shared" ref="D10:H10" si="6">SUM(D8:D9)</f>
        <v>17093</v>
      </c>
      <c r="E10" s="7">
        <f t="shared" ref="E10" si="7">SUM(E8:E9)</f>
        <v>17019</v>
      </c>
      <c r="F10" s="6">
        <f t="shared" si="6"/>
        <v>21222</v>
      </c>
      <c r="G10" s="6">
        <f t="shared" si="6"/>
        <v>18842</v>
      </c>
      <c r="H10" s="6">
        <f t="shared" si="6"/>
        <v>19107</v>
      </c>
      <c r="I10" s="2"/>
      <c r="J10" s="6">
        <f>ROUND(J6*18%,0)</f>
        <v>19800</v>
      </c>
    </row>
    <row r="11" spans="1:10" x14ac:dyDescent="0.25">
      <c r="A11" s="2" t="s">
        <v>13</v>
      </c>
      <c r="B11" s="2"/>
      <c r="C11" s="4"/>
      <c r="D11" s="5"/>
      <c r="E11" s="5"/>
      <c r="F11" s="4">
        <f>F10+F6</f>
        <v>139122</v>
      </c>
      <c r="G11" s="4"/>
      <c r="H11" s="4"/>
      <c r="I11" s="2"/>
      <c r="J11" s="2"/>
    </row>
    <row r="12" spans="1:10" x14ac:dyDescent="0.25">
      <c r="A12" s="2" t="s">
        <v>12</v>
      </c>
      <c r="B12" s="4">
        <f>B6+B8</f>
        <v>132000</v>
      </c>
      <c r="C12" s="6">
        <f>C6+C10</f>
        <v>124608</v>
      </c>
      <c r="D12" s="7">
        <f t="shared" ref="D12:J12" si="8">D6+D10</f>
        <v>112055</v>
      </c>
      <c r="E12" s="7">
        <f t="shared" ref="E12" si="9">E6+E10</f>
        <v>111569</v>
      </c>
      <c r="F12" s="6">
        <f>F11*1.05</f>
        <v>146078.1</v>
      </c>
      <c r="G12" s="6">
        <f t="shared" si="8"/>
        <v>123518</v>
      </c>
      <c r="H12" s="6">
        <f t="shared" si="8"/>
        <v>125257</v>
      </c>
      <c r="I12" s="2"/>
      <c r="J12" s="6">
        <f t="shared" si="8"/>
        <v>129800</v>
      </c>
    </row>
    <row r="13" spans="1:10" x14ac:dyDescent="0.25">
      <c r="A13" s="2"/>
      <c r="B13" s="4"/>
      <c r="C13" s="4"/>
      <c r="D13" s="4"/>
      <c r="E13" s="4"/>
      <c r="F13" s="2"/>
      <c r="G13" s="2"/>
      <c r="H13" s="2"/>
      <c r="I13" s="2"/>
      <c r="J13" s="4"/>
    </row>
    <row r="14" spans="1:10" x14ac:dyDescent="0.25">
      <c r="A14" s="2"/>
      <c r="B14" s="4">
        <f>B12*4</f>
        <v>528000</v>
      </c>
      <c r="C14" s="6">
        <f t="shared" ref="C14:J14" si="10">C12*4</f>
        <v>498432</v>
      </c>
      <c r="D14" s="7">
        <f t="shared" si="10"/>
        <v>448220</v>
      </c>
      <c r="E14" s="7">
        <f t="shared" ref="E14" si="11">E12*4</f>
        <v>446276</v>
      </c>
      <c r="F14" s="6">
        <f t="shared" si="10"/>
        <v>584312.4</v>
      </c>
      <c r="G14" s="6">
        <f t="shared" si="10"/>
        <v>494072</v>
      </c>
      <c r="H14" s="6">
        <f t="shared" si="10"/>
        <v>501028</v>
      </c>
      <c r="I14" s="2"/>
      <c r="J14" s="6">
        <f t="shared" si="10"/>
        <v>519200</v>
      </c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9" t="s">
        <v>17</v>
      </c>
      <c r="D16" s="16" t="s">
        <v>15</v>
      </c>
      <c r="E16" s="16"/>
      <c r="F16" s="9" t="s">
        <v>19</v>
      </c>
      <c r="G16" s="9" t="s">
        <v>16</v>
      </c>
      <c r="H16" s="9" t="s">
        <v>17</v>
      </c>
      <c r="I16" s="2"/>
      <c r="J16" s="2"/>
    </row>
    <row r="18" spans="4:5" x14ac:dyDescent="0.25">
      <c r="D18" s="1" t="s">
        <v>14</v>
      </c>
      <c r="E18" s="11">
        <f>G14-E14</f>
        <v>47796</v>
      </c>
    </row>
    <row r="20" spans="4:5" x14ac:dyDescent="0.25">
      <c r="D20" s="1" t="s">
        <v>20</v>
      </c>
      <c r="E20" s="10">
        <f>J14-E14</f>
        <v>72924</v>
      </c>
    </row>
  </sheetData>
  <mergeCells count="2">
    <mergeCell ref="C2:H2"/>
    <mergeCell ref="D16:E16"/>
  </mergeCells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2022-10-15T03:09:15Z</cp:lastPrinted>
  <dcterms:created xsi:type="dcterms:W3CDTF">2022-05-04T11:58:36Z</dcterms:created>
  <dcterms:modified xsi:type="dcterms:W3CDTF">2022-10-31T03:23:37Z</dcterms:modified>
</cp:coreProperties>
</file>