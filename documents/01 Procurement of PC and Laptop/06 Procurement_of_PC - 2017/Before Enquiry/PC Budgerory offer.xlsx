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60" windowWidth="17430" windowHeight="7275"/>
  </bookViews>
  <sheets>
    <sheet name="BUDGETORY OFFER" sheetId="1" r:id="rId1"/>
    <sheet name="Modelwise" sheetId="2" r:id="rId2"/>
    <sheet name="Sheet3" sheetId="3" r:id="rId3"/>
  </sheets>
  <definedNames>
    <definedName name="OLE_LINK26" localSheetId="0">'BUDGETORY OFFER'!$E$13</definedName>
  </definedNames>
  <calcPr calcId="145621"/>
</workbook>
</file>

<file path=xl/calcChain.xml><?xml version="1.0" encoding="utf-8"?>
<calcChain xmlns="http://schemas.openxmlformats.org/spreadsheetml/2006/main">
  <c r="C36" i="3" l="1"/>
</calcChain>
</file>

<file path=xl/sharedStrings.xml><?xml version="1.0" encoding="utf-8"?>
<sst xmlns="http://schemas.openxmlformats.org/spreadsheetml/2006/main" count="238" uniqueCount="160">
  <si>
    <t>Make/model</t>
  </si>
  <si>
    <t>Processor</t>
  </si>
  <si>
    <t>Core i3-6th Gen 6100, 3.2 GHz  or better</t>
  </si>
  <si>
    <t>Cache memory</t>
  </si>
  <si>
    <t>3 MB Cache or above</t>
  </si>
  <si>
    <t>Chipset</t>
  </si>
  <si>
    <t>Intel® Q8 series (or Equivalent) Chipset Motherboard</t>
  </si>
  <si>
    <t>RAM</t>
  </si>
  <si>
    <t>4 GB DDR4-1866 or better SDRAM (1 x 4 GB)</t>
  </si>
  <si>
    <t>DVD Drive</t>
  </si>
  <si>
    <t>DVD ROM</t>
  </si>
  <si>
    <t>Graphics</t>
  </si>
  <si>
    <t>Intel® HD Integrated Graphics 4400 or better</t>
  </si>
  <si>
    <t>Wireless</t>
  </si>
  <si>
    <t>802.11b/g/n (1x1)</t>
  </si>
  <si>
    <t>LAN</t>
  </si>
  <si>
    <t>Integrated 10/100/1000 GbE LAN with WoL support</t>
  </si>
  <si>
    <t xml:space="preserve">Storage bays </t>
  </si>
  <si>
    <t>Min 3 Nos. (2 Nos. 5.25 inch for Optical Media drives and Min  1 No. 3.5 inch for Hard Disk drives)</t>
  </si>
  <si>
    <t xml:space="preserve">Ports </t>
  </si>
  <si>
    <t>Minimum 4 USB 2.0; 2 USB 3.0; 1 headphone/microphone combo</t>
  </si>
  <si>
    <t>HDD</t>
  </si>
  <si>
    <t>1 x 500 GB HDD Sata 7200 rpm</t>
  </si>
  <si>
    <t>Monitor</t>
  </si>
  <si>
    <t>18.5 inch or above  Wide TFT Backlit LED-LCD Digital Color Monitor</t>
  </si>
  <si>
    <t>Keyboard and Mouse</t>
  </si>
  <si>
    <t>Standard Wired USB Keyboard Mouse</t>
  </si>
  <si>
    <t>OS</t>
  </si>
  <si>
    <t>Preloaded Genuine MS® Windows 10 Pro 64 bit down-gradable to Windows 8 Pro 64 bit with Certification of Authenticity</t>
  </si>
  <si>
    <t>Warranty</t>
  </si>
  <si>
    <t>Three year comprehensive on-site warranty</t>
  </si>
  <si>
    <t xml:space="preserve">Core i5-6th Gen 6500, 3.2 GHz  or better </t>
  </si>
  <si>
    <t>6 MB Cache or above</t>
  </si>
  <si>
    <t>Intel® Q170 series Chipset Motherboard</t>
  </si>
  <si>
    <t>1 x 250 GB SSD ; 1 x 500 GB HDD Sata 7200 rpm</t>
  </si>
  <si>
    <t>2 x 500 GB HDD Sata 7200 rpm</t>
  </si>
  <si>
    <t xml:space="preserve">6 MB Cache or above </t>
  </si>
  <si>
    <r>
      <rPr>
        <b/>
        <sz val="11"/>
        <color rgb="FF000000"/>
        <rFont val="Calibri"/>
        <family val="2"/>
        <scheme val="minor"/>
      </rPr>
      <t>Intel® H110</t>
    </r>
    <r>
      <rPr>
        <sz val="11"/>
        <color rgb="FF000000"/>
        <rFont val="Calibri"/>
        <family val="2"/>
        <scheme val="minor"/>
      </rPr>
      <t xml:space="preserve"> Chipset Motherboard</t>
    </r>
  </si>
  <si>
    <t xml:space="preserve">Lenovo S510 </t>
  </si>
  <si>
    <t xml:space="preserve">HP 280 G2 Micro Tower PC </t>
  </si>
  <si>
    <t xml:space="preserve">Dell optiplex 3040 MT </t>
  </si>
  <si>
    <t xml:space="preserve">Intel® Core™ i5  (6th  Generation) 64 bit Processor with Clock Speed 3.20 GHz Number of Cores/Threads – 4/4 </t>
  </si>
  <si>
    <t xml:space="preserve">Intel® Core™ i3 -6100 (6th  Generation ) 64 bit Processor with Clock Speed 3.7 GHz, Number of Cores/Threads – 2/4 </t>
  </si>
  <si>
    <t>Intel® Core™ i3-6100 (6th  Generation) 3.7 GHz;  Cores – 2</t>
  </si>
  <si>
    <t>Intel® Core™ i3-6100 (6th  Generation)</t>
  </si>
  <si>
    <t>3 MB Cache</t>
  </si>
  <si>
    <t>Desktop Cabinet</t>
  </si>
  <si>
    <t>Tower Model</t>
  </si>
  <si>
    <t>Micro Tower Model</t>
  </si>
  <si>
    <t>Chip set</t>
  </si>
  <si>
    <t>Intel Q170</t>
  </si>
  <si>
    <t xml:space="preserve">Intel H110 Chipset </t>
  </si>
  <si>
    <t>Intel® H110</t>
  </si>
  <si>
    <t>Intel® H110 Chipset</t>
  </si>
  <si>
    <t>Integrated Intel® HD Graphics</t>
  </si>
  <si>
    <t>Integrated Intel® HD Graphics HD-530</t>
  </si>
  <si>
    <t>Intel® Integrated Graphics</t>
  </si>
  <si>
    <t>Memory</t>
  </si>
  <si>
    <t xml:space="preserve">4 GB </t>
  </si>
  <si>
    <t xml:space="preserve">Memory  Type </t>
  </si>
  <si>
    <t>DDR4 2133 MHz</t>
  </si>
  <si>
    <t>Dual Channel DDR4 - 2133</t>
  </si>
  <si>
    <t>DDR4-2133 SDRAM</t>
  </si>
  <si>
    <t>DDR 3</t>
  </si>
  <si>
    <t>DIMM Slots</t>
  </si>
  <si>
    <t>4 Nos. upto 16 GB of RAM</t>
  </si>
  <si>
    <t>Upto 32GB RAM</t>
  </si>
  <si>
    <t>2 DIMM</t>
  </si>
  <si>
    <t>Expansion slots</t>
  </si>
  <si>
    <t>2 PCI Slots, 2 PCI Express slot min.</t>
  </si>
  <si>
    <t>2 PCI Express slots</t>
  </si>
  <si>
    <t>Network controller</t>
  </si>
  <si>
    <t>Integrated 100/1000 Mbps with WoL Support</t>
  </si>
  <si>
    <t>1 gigabit ethernet port eith WoL support</t>
  </si>
  <si>
    <t>LANIntegrated 10/100/1000 GbE</t>
  </si>
  <si>
    <t>DVD drive</t>
  </si>
  <si>
    <t>Internal DVD 16X DVRW</t>
  </si>
  <si>
    <t>DVD-ROM DL SATA</t>
  </si>
  <si>
    <t>Slim SATA DVD-ROM</t>
  </si>
  <si>
    <t>Hard Disk Drive</t>
  </si>
  <si>
    <t>SATA : 7200 RPM 500 GB</t>
  </si>
  <si>
    <t>500 GB SATA (7200 rpm)</t>
  </si>
  <si>
    <t>500GB @ 7200 RPM</t>
  </si>
  <si>
    <t xml:space="preserve">Additional Hard Disk </t>
  </si>
  <si>
    <t>Storage bays</t>
  </si>
  <si>
    <t>One 3.5"; one 5.25"</t>
  </si>
  <si>
    <t>18.5 inch Wide TFT Backlit LED-LCD Digital Color Monitor</t>
  </si>
  <si>
    <t>19.5 inch  Wide TFT Backlit LED-LCD Digital Color Monitor</t>
  </si>
  <si>
    <t>18.5 inch  Wide TFT</t>
  </si>
  <si>
    <t>19.5" Display</t>
  </si>
  <si>
    <t>Keyboard</t>
  </si>
  <si>
    <t>USB Standard Keyboard</t>
  </si>
  <si>
    <t>Mouse</t>
  </si>
  <si>
    <t>USB 2 Button Optical Scroll Mouse with Mouse Pad</t>
  </si>
  <si>
    <t xml:space="preserve">USB Optical Scroll Mouse </t>
  </si>
  <si>
    <t xml:space="preserve">I/O Ports Front </t>
  </si>
  <si>
    <t>2 Nos. USB 2.0/3.0 Port; Head Phone;  Line In/Out</t>
  </si>
  <si>
    <t>2 Nos. USB 3.0 port; Microphone;  Line in/out</t>
  </si>
  <si>
    <t>2 Nos. USB 2.0 port; 1 microphone/headphone</t>
  </si>
  <si>
    <t xml:space="preserve">2 USB 3.0; 2 USB 2.0; </t>
  </si>
  <si>
    <t>I/O Ports Rear</t>
  </si>
  <si>
    <t>1 Serial Port; Minimum 2 Nos USB 2.0; Minimum 2 Nos USB 3.0;  RJ-45 LAN Port ; VGA/DVI Port(s)</t>
  </si>
  <si>
    <t>1 Serial Pin (9 pin); 2 USB 2.0; 2 USB 3.0; RJ 45 Ethernet; VGA port,  Display Port</t>
  </si>
  <si>
    <t xml:space="preserve">4 USB 2.0; 2 USB 3.0; 1 audio Line in/out; DVI; VGA; RJ-45; </t>
  </si>
  <si>
    <t>2 USB 3.0; 2 USB 2.0; RJ 45; Display Port; HDMI; 2 PS/2; 1 Line out</t>
  </si>
  <si>
    <t>Windows 8.1 Pro</t>
  </si>
  <si>
    <t xml:space="preserve">Windows 10 Pro 64 </t>
  </si>
  <si>
    <t>Jupiter</t>
  </si>
  <si>
    <t>Option 1 (Intel® Core i3 with single HDD)</t>
  </si>
  <si>
    <t>Intel® Q8 series Chipset Motherboard</t>
  </si>
  <si>
    <t>Cache memory: 3 MB Cache or above</t>
  </si>
  <si>
    <t>1 x 500GB, Sata HDD 7200 RPM</t>
  </si>
  <si>
    <t>Option 2 (Intel® Core i3 with single HDD)</t>
  </si>
  <si>
    <t>Core i3-6th Gen 6100, 3.2 GHz or better</t>
  </si>
  <si>
    <t xml:space="preserve">Intel® H110 Chipset Motherboard </t>
  </si>
  <si>
    <t>Option 3 (Intel® Core i3 with 1 - SSD and 1 Sata HDD)</t>
  </si>
  <si>
    <t>Core i3-6th Gen 6100T 3.2GHz or better</t>
  </si>
  <si>
    <t>1 x 250 GB SSD (for preloaded OS)</t>
  </si>
  <si>
    <t>1 x 500 GB Sata HDD 7200 RPM</t>
  </si>
  <si>
    <t>Option 4 (Intel® Core i5 with 2 Sata HDDs)</t>
  </si>
  <si>
    <t>Intel® Core i5 Model</t>
  </si>
  <si>
    <t>Core i5-6500, 3.2 GHz</t>
  </si>
  <si>
    <t>Number of Cores/Threads - 4/4</t>
  </si>
  <si>
    <t>Cache memory: 6 MB Cache or above</t>
  </si>
  <si>
    <t>Intel® Q170 Chipset Motherboard</t>
  </si>
  <si>
    <t>2 x 500GB, Sata HDD 7200 RPM</t>
  </si>
  <si>
    <t>Budgetary offer Comparison</t>
  </si>
  <si>
    <t>Brand Offered by the vendor</t>
  </si>
  <si>
    <t>HP/Dell/Lenovo</t>
  </si>
  <si>
    <t xml:space="preserve">MicroSoft® Office License </t>
  </si>
  <si>
    <t xml:space="preserve">For 50 </t>
  </si>
  <si>
    <t>HP Elite 800 G2</t>
  </si>
  <si>
    <t>Jupitor</t>
  </si>
  <si>
    <t>Ishan Infotech</t>
  </si>
  <si>
    <t>Silver Touch (Dell)</t>
  </si>
  <si>
    <t>(IBM/ HP/ DELL/  LENOVO/ WIPRO/ ACER/ COMPAQ )</t>
  </si>
  <si>
    <t>Lenovo M700z AIO Desktop</t>
  </si>
  <si>
    <t>Core i5- 6400T</t>
  </si>
  <si>
    <t>4 GB DDR4</t>
  </si>
  <si>
    <t>1 X 500 GB HDD</t>
  </si>
  <si>
    <t>DVD RW</t>
  </si>
  <si>
    <t>Windows 10 Pro - Downgrade Win 7 Pro</t>
  </si>
  <si>
    <t>Wi-Fi + BT</t>
  </si>
  <si>
    <t>20" Display</t>
  </si>
  <si>
    <t>Ishan Infotech AIO</t>
  </si>
  <si>
    <t>Dell OptiPlex 7440 AIO</t>
  </si>
  <si>
    <r>
      <t> </t>
    </r>
    <r>
      <rPr>
        <sz val="12"/>
        <color rgb="FF1F497D"/>
        <rFont val="Times New Roman"/>
        <family val="1"/>
      </rPr>
      <t>Core i5 6500</t>
    </r>
  </si>
  <si>
    <r>
      <t> </t>
    </r>
    <r>
      <rPr>
        <sz val="12"/>
        <color rgb="FF1F497D"/>
        <rFont val="Times New Roman"/>
        <family val="1"/>
      </rPr>
      <t>6 MB</t>
    </r>
  </si>
  <si>
    <r>
      <t> </t>
    </r>
    <r>
      <rPr>
        <sz val="12"/>
        <color rgb="FF1F497D"/>
        <rFont val="Times New Roman"/>
        <family val="1"/>
      </rPr>
      <t>Q170</t>
    </r>
  </si>
  <si>
    <r>
      <t> </t>
    </r>
    <r>
      <rPr>
        <sz val="12"/>
        <color rgb="FF1F497D"/>
        <rFont val="Times New Roman"/>
        <family val="1"/>
      </rPr>
      <t>4 GB DDR4</t>
    </r>
  </si>
  <si>
    <r>
      <t> </t>
    </r>
    <r>
      <rPr>
        <sz val="12"/>
        <color rgb="FF1F497D"/>
        <rFont val="Times New Roman"/>
        <family val="1"/>
      </rPr>
      <t>8X</t>
    </r>
  </si>
  <si>
    <r>
      <t> </t>
    </r>
    <r>
      <rPr>
        <sz val="12"/>
        <color rgb="FF1F497D"/>
        <rFont val="Times New Roman"/>
        <family val="1"/>
      </rPr>
      <t>Integrated Graphics</t>
    </r>
  </si>
  <si>
    <r>
      <t> </t>
    </r>
    <r>
      <rPr>
        <sz val="12"/>
        <color rgb="FF1F497D"/>
        <rFont val="Times New Roman"/>
        <family val="1"/>
      </rPr>
      <t>Additional Wireless 802.11 ac + BT 4.1</t>
    </r>
  </si>
  <si>
    <r>
      <t> </t>
    </r>
    <r>
      <rPr>
        <sz val="12"/>
        <color rgb="FF1F497D"/>
        <rFont val="Times New Roman"/>
        <family val="1"/>
      </rPr>
      <t>Integrated Gigabit Ethernet</t>
    </r>
  </si>
  <si>
    <r>
      <t> </t>
    </r>
    <r>
      <rPr>
        <sz val="12"/>
        <color rgb="FF1F497D"/>
        <rFont val="Times New Roman"/>
        <family val="1"/>
      </rPr>
      <t>YES</t>
    </r>
  </si>
  <si>
    <r>
      <t> </t>
    </r>
    <r>
      <rPr>
        <sz val="12"/>
        <color rgb="FF1F497D"/>
        <rFont val="Times New Roman"/>
        <family val="1"/>
      </rPr>
      <t>500 GB SATA</t>
    </r>
  </si>
  <si>
    <r>
      <t> </t>
    </r>
    <r>
      <rPr>
        <sz val="12"/>
        <color rgb="FF1F497D"/>
        <rFont val="Times New Roman"/>
        <family val="1"/>
      </rPr>
      <t>21.5”</t>
    </r>
  </si>
  <si>
    <r>
      <t> </t>
    </r>
    <r>
      <rPr>
        <sz val="12"/>
        <color rgb="FF1F497D"/>
        <rFont val="Times New Roman"/>
        <family val="1"/>
      </rPr>
      <t>USB KYBD &amp; Mouse</t>
    </r>
  </si>
  <si>
    <r>
      <t> </t>
    </r>
    <r>
      <rPr>
        <sz val="12"/>
        <color rgb="FF1F497D"/>
        <rFont val="Times New Roman"/>
        <family val="1"/>
      </rPr>
      <t>Windows 10 Pro 64 Bit</t>
    </r>
  </si>
  <si>
    <r>
      <t> </t>
    </r>
    <r>
      <rPr>
        <sz val="12"/>
        <color rgb="FF1F497D"/>
        <rFont val="Times New Roman"/>
        <family val="1"/>
      </rPr>
      <t xml:space="preserve">Three Years NBD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</si>
</sst>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9"/>
      <color rgb="FF333333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2"/>
      <color rgb="FF1F497D"/>
      <name val="Times New Roman"/>
      <family val="1"/>
    </font>
    <font>
      <sz val="12"/>
      <color rgb="FF000000"/>
      <name val="Times New Roman"/>
      <family val="1"/>
    </font>
    <font>
      <sz val="11"/>
      <color theme="1"/>
      <name val="Andalus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3" fontId="1" fillId="0" borderId="1" xfId="0" applyNumberFormat="1" applyFont="1" applyBorder="1" applyAlignment="1">
      <alignment vertical="center" wrapText="1"/>
    </xf>
    <xf numFmtId="0" fontId="0" fillId="0" borderId="0" xfId="0" applyFont="1"/>
    <xf numFmtId="0" fontId="3" fillId="0" borderId="0" xfId="0" applyFont="1" applyAlignment="1">
      <alignment vertical="center"/>
    </xf>
    <xf numFmtId="0" fontId="5" fillId="2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9" fillId="0" borderId="0" xfId="0" applyFont="1"/>
    <xf numFmtId="0" fontId="10" fillId="0" borderId="0" xfId="0" applyFont="1"/>
    <xf numFmtId="3" fontId="9" fillId="0" borderId="0" xfId="0" applyNumberFormat="1" applyFont="1"/>
    <xf numFmtId="3" fontId="9" fillId="0" borderId="0" xfId="0" applyNumberFormat="1" applyFont="1" applyFill="1" applyBorder="1"/>
    <xf numFmtId="0" fontId="1" fillId="0" borderId="2" xfId="0" applyFont="1" applyFill="1" applyBorder="1" applyAlignment="1">
      <alignment vertical="center" wrapText="1"/>
    </xf>
    <xf numFmtId="3" fontId="0" fillId="0" borderId="0" xfId="0" applyNumberFormat="1" applyFont="1"/>
    <xf numFmtId="0" fontId="2" fillId="0" borderId="3" xfId="0" applyFont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3" fontId="1" fillId="0" borderId="3" xfId="0" applyNumberFormat="1" applyFont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0" fillId="0" borderId="1" xfId="0" applyFont="1" applyBorder="1"/>
    <xf numFmtId="0" fontId="11" fillId="0" borderId="4" xfId="0" applyFont="1" applyBorder="1" applyAlignment="1">
      <alignment vertical="center"/>
    </xf>
    <xf numFmtId="0" fontId="12" fillId="0" borderId="4" xfId="0" applyFont="1" applyBorder="1" applyAlignment="1">
      <alignment vertical="center"/>
    </xf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2"/>
  <sheetViews>
    <sheetView tabSelected="1" topLeftCell="C1" workbookViewId="0">
      <selection activeCell="H6" sqref="H6"/>
    </sheetView>
  </sheetViews>
  <sheetFormatPr defaultColWidth="28.85546875" defaultRowHeight="15" x14ac:dyDescent="0.25"/>
  <cols>
    <col min="1" max="1" width="20" bestFit="1" customWidth="1"/>
    <col min="2" max="2" width="28.5703125" style="6" bestFit="1" customWidth="1"/>
    <col min="3" max="3" width="31" style="6" bestFit="1" customWidth="1"/>
    <col min="4" max="4" width="28.7109375" style="6" bestFit="1" customWidth="1"/>
    <col min="5" max="6" width="28.5703125" style="6" bestFit="1" customWidth="1"/>
    <col min="7" max="7" width="37.28515625" bestFit="1" customWidth="1"/>
  </cols>
  <sheetData>
    <row r="2" spans="1:8" ht="30.75" thickBot="1" x14ac:dyDescent="0.55000000000000004">
      <c r="A2" s="1" t="s">
        <v>0</v>
      </c>
      <c r="B2" s="2" t="s">
        <v>135</v>
      </c>
      <c r="C2" s="2" t="s">
        <v>135</v>
      </c>
      <c r="D2" s="2" t="s">
        <v>135</v>
      </c>
      <c r="E2" s="22" t="s">
        <v>135</v>
      </c>
      <c r="F2" s="26" t="s">
        <v>136</v>
      </c>
      <c r="G2" s="28" t="s">
        <v>145</v>
      </c>
      <c r="H2" s="30"/>
    </row>
    <row r="3" spans="1:8" ht="30.75" thickBot="1" x14ac:dyDescent="0.3">
      <c r="A3" s="1" t="s">
        <v>1</v>
      </c>
      <c r="B3" s="4" t="s">
        <v>2</v>
      </c>
      <c r="C3" s="4" t="s">
        <v>2</v>
      </c>
      <c r="D3" s="4" t="s">
        <v>2</v>
      </c>
      <c r="E3" s="23" t="s">
        <v>31</v>
      </c>
      <c r="F3" s="3" t="s">
        <v>137</v>
      </c>
      <c r="G3" s="29" t="s">
        <v>146</v>
      </c>
    </row>
    <row r="4" spans="1:8" ht="16.5" thickBot="1" x14ac:dyDescent="0.3">
      <c r="A4" s="3" t="s">
        <v>3</v>
      </c>
      <c r="B4" s="4" t="s">
        <v>4</v>
      </c>
      <c r="C4" s="4" t="s">
        <v>4</v>
      </c>
      <c r="D4" s="4" t="s">
        <v>4</v>
      </c>
      <c r="E4" s="23" t="s">
        <v>36</v>
      </c>
      <c r="F4" s="27"/>
      <c r="G4" s="29" t="s">
        <v>147</v>
      </c>
    </row>
    <row r="5" spans="1:8" ht="45.75" thickBot="1" x14ac:dyDescent="0.3">
      <c r="A5" s="1" t="s">
        <v>5</v>
      </c>
      <c r="B5" s="3" t="s">
        <v>6</v>
      </c>
      <c r="C5" s="4" t="s">
        <v>37</v>
      </c>
      <c r="D5" s="3" t="s">
        <v>6</v>
      </c>
      <c r="E5" s="23" t="s">
        <v>33</v>
      </c>
      <c r="F5" s="27"/>
      <c r="G5" s="29" t="s">
        <v>148</v>
      </c>
    </row>
    <row r="6" spans="1:8" ht="30.75" thickBot="1" x14ac:dyDescent="0.3">
      <c r="A6" s="1" t="s">
        <v>7</v>
      </c>
      <c r="B6" s="4" t="s">
        <v>8</v>
      </c>
      <c r="C6" s="4" t="s">
        <v>8</v>
      </c>
      <c r="D6" s="4" t="s">
        <v>8</v>
      </c>
      <c r="E6" s="24" t="s">
        <v>8</v>
      </c>
      <c r="F6" s="4" t="s">
        <v>138</v>
      </c>
      <c r="G6" s="29" t="s">
        <v>149</v>
      </c>
    </row>
    <row r="7" spans="1:8" ht="16.5" thickBot="1" x14ac:dyDescent="0.3">
      <c r="A7" s="1" t="s">
        <v>9</v>
      </c>
      <c r="B7" s="4" t="s">
        <v>10</v>
      </c>
      <c r="C7" s="4" t="s">
        <v>10</v>
      </c>
      <c r="D7" s="4" t="s">
        <v>10</v>
      </c>
      <c r="E7" s="24" t="s">
        <v>10</v>
      </c>
      <c r="F7" s="4" t="s">
        <v>140</v>
      </c>
      <c r="G7" s="29" t="s">
        <v>150</v>
      </c>
    </row>
    <row r="8" spans="1:8" ht="30.75" thickBot="1" x14ac:dyDescent="0.3">
      <c r="A8" s="1" t="s">
        <v>11</v>
      </c>
      <c r="B8" s="4" t="s">
        <v>12</v>
      </c>
      <c r="C8" s="4" t="s">
        <v>12</v>
      </c>
      <c r="D8" s="4" t="s">
        <v>12</v>
      </c>
      <c r="E8" s="24" t="s">
        <v>12</v>
      </c>
      <c r="F8" s="27"/>
      <c r="G8" s="29" t="s">
        <v>151</v>
      </c>
    </row>
    <row r="9" spans="1:8" ht="16.5" thickBot="1" x14ac:dyDescent="0.3">
      <c r="A9" s="1" t="s">
        <v>13</v>
      </c>
      <c r="B9" s="4" t="s">
        <v>14</v>
      </c>
      <c r="C9" s="4" t="s">
        <v>14</v>
      </c>
      <c r="D9" s="4" t="s">
        <v>14</v>
      </c>
      <c r="E9" s="7" t="s">
        <v>14</v>
      </c>
      <c r="F9" s="4" t="s">
        <v>142</v>
      </c>
      <c r="G9" s="29" t="s">
        <v>152</v>
      </c>
    </row>
    <row r="10" spans="1:8" ht="30.75" thickBot="1" x14ac:dyDescent="0.3">
      <c r="A10" s="1" t="s">
        <v>15</v>
      </c>
      <c r="B10" s="4" t="s">
        <v>16</v>
      </c>
      <c r="C10" s="4" t="s">
        <v>16</v>
      </c>
      <c r="D10" s="4" t="s">
        <v>16</v>
      </c>
      <c r="E10" s="24" t="s">
        <v>16</v>
      </c>
      <c r="F10" s="27"/>
      <c r="G10" s="29" t="s">
        <v>153</v>
      </c>
    </row>
    <row r="11" spans="1:8" ht="60" x14ac:dyDescent="0.25">
      <c r="A11" s="1" t="s">
        <v>17</v>
      </c>
      <c r="B11" s="4" t="s">
        <v>18</v>
      </c>
      <c r="C11" s="4" t="s">
        <v>18</v>
      </c>
      <c r="D11" s="4" t="s">
        <v>18</v>
      </c>
      <c r="E11" s="24" t="s">
        <v>18</v>
      </c>
      <c r="F11" s="27"/>
    </row>
    <row r="12" spans="1:8" ht="45.75" thickBot="1" x14ac:dyDescent="0.3">
      <c r="A12" s="1" t="s">
        <v>19</v>
      </c>
      <c r="B12" s="4" t="s">
        <v>20</v>
      </c>
      <c r="C12" s="4" t="s">
        <v>20</v>
      </c>
      <c r="D12" s="4" t="s">
        <v>20</v>
      </c>
      <c r="E12" s="24" t="s">
        <v>20</v>
      </c>
      <c r="F12" s="27"/>
      <c r="G12" s="29" t="s">
        <v>154</v>
      </c>
    </row>
    <row r="13" spans="1:8" ht="30.75" thickBot="1" x14ac:dyDescent="0.3">
      <c r="A13" s="1" t="s">
        <v>21</v>
      </c>
      <c r="B13" s="4" t="s">
        <v>22</v>
      </c>
      <c r="C13" s="4" t="s">
        <v>22</v>
      </c>
      <c r="D13" s="3" t="s">
        <v>34</v>
      </c>
      <c r="E13" s="23" t="s">
        <v>35</v>
      </c>
      <c r="F13" s="27" t="s">
        <v>139</v>
      </c>
      <c r="G13" s="29" t="s">
        <v>155</v>
      </c>
    </row>
    <row r="14" spans="1:8" ht="45.75" thickBot="1" x14ac:dyDescent="0.3">
      <c r="A14" s="1" t="s">
        <v>23</v>
      </c>
      <c r="B14" s="4" t="s">
        <v>24</v>
      </c>
      <c r="C14" s="4" t="s">
        <v>24</v>
      </c>
      <c r="D14" s="4" t="s">
        <v>24</v>
      </c>
      <c r="E14" s="24" t="s">
        <v>24</v>
      </c>
      <c r="F14" s="4" t="s">
        <v>143</v>
      </c>
      <c r="G14" s="29" t="s">
        <v>156</v>
      </c>
    </row>
    <row r="15" spans="1:8" ht="30.75" thickBot="1" x14ac:dyDescent="0.3">
      <c r="A15" s="1" t="s">
        <v>25</v>
      </c>
      <c r="B15" s="2" t="s">
        <v>26</v>
      </c>
      <c r="C15" s="2" t="s">
        <v>26</v>
      </c>
      <c r="D15" s="2" t="s">
        <v>26</v>
      </c>
      <c r="E15" s="22" t="s">
        <v>26</v>
      </c>
      <c r="F15" s="27"/>
      <c r="G15" s="29" t="s">
        <v>157</v>
      </c>
    </row>
    <row r="16" spans="1:8" ht="75.75" thickBot="1" x14ac:dyDescent="0.3">
      <c r="A16" s="1" t="s">
        <v>27</v>
      </c>
      <c r="B16" s="2" t="s">
        <v>28</v>
      </c>
      <c r="C16" s="2" t="s">
        <v>28</v>
      </c>
      <c r="D16" s="2" t="s">
        <v>28</v>
      </c>
      <c r="E16" s="22" t="s">
        <v>28</v>
      </c>
      <c r="F16" s="26" t="s">
        <v>141</v>
      </c>
      <c r="G16" s="29" t="s">
        <v>158</v>
      </c>
    </row>
    <row r="17" spans="1:7" ht="30.75" thickBot="1" x14ac:dyDescent="0.3">
      <c r="A17" s="1" t="s">
        <v>29</v>
      </c>
      <c r="B17" s="2" t="s">
        <v>30</v>
      </c>
      <c r="C17" s="2" t="s">
        <v>30</v>
      </c>
      <c r="D17" s="2" t="s">
        <v>30</v>
      </c>
      <c r="E17" s="22" t="s">
        <v>30</v>
      </c>
      <c r="F17" s="2" t="s">
        <v>30</v>
      </c>
      <c r="G17" s="29" t="s">
        <v>159</v>
      </c>
    </row>
    <row r="18" spans="1:7" x14ac:dyDescent="0.25">
      <c r="A18" s="1" t="s">
        <v>132</v>
      </c>
      <c r="B18" s="5">
        <v>44000</v>
      </c>
      <c r="C18" s="5">
        <v>40000</v>
      </c>
      <c r="D18" s="5">
        <v>48000</v>
      </c>
      <c r="E18" s="25">
        <v>58000</v>
      </c>
      <c r="F18" s="27">
        <v>53500</v>
      </c>
    </row>
    <row r="19" spans="1:7" x14ac:dyDescent="0.25">
      <c r="A19" s="1" t="s">
        <v>133</v>
      </c>
      <c r="B19" s="18">
        <v>45500</v>
      </c>
      <c r="C19" s="18">
        <v>42500</v>
      </c>
      <c r="D19" s="18">
        <v>50500</v>
      </c>
      <c r="E19" s="19">
        <v>56500</v>
      </c>
      <c r="F19" s="27"/>
    </row>
    <row r="20" spans="1:7" x14ac:dyDescent="0.25">
      <c r="A20" s="20" t="s">
        <v>134</v>
      </c>
      <c r="C20" s="21">
        <v>47000</v>
      </c>
      <c r="E20" s="21">
        <v>60000</v>
      </c>
      <c r="F20" s="27"/>
    </row>
    <row r="21" spans="1:7" x14ac:dyDescent="0.25">
      <c r="A21" s="1" t="s">
        <v>144</v>
      </c>
      <c r="F21" s="6">
        <v>55500</v>
      </c>
    </row>
    <row r="22" spans="1:7" x14ac:dyDescent="0.25">
      <c r="G22">
        <v>70000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topLeftCell="A10" workbookViewId="0">
      <selection activeCell="K15" sqref="K15"/>
    </sheetView>
  </sheetViews>
  <sheetFormatPr defaultRowHeight="15" x14ac:dyDescent="0.25"/>
  <cols>
    <col min="1" max="1" width="12.5703125" bestFit="1" customWidth="1"/>
    <col min="2" max="4" width="24.5703125" customWidth="1"/>
    <col min="5" max="5" width="24.28515625" bestFit="1" customWidth="1"/>
  </cols>
  <sheetData>
    <row r="1" spans="1:5" x14ac:dyDescent="0.25">
      <c r="A1" s="9"/>
      <c r="B1" s="12" t="s">
        <v>131</v>
      </c>
      <c r="C1" s="12" t="s">
        <v>38</v>
      </c>
      <c r="D1" s="12" t="s">
        <v>39</v>
      </c>
      <c r="E1" s="13" t="s">
        <v>40</v>
      </c>
    </row>
    <row r="2" spans="1:5" x14ac:dyDescent="0.25">
      <c r="A2" s="9"/>
      <c r="B2" s="12">
        <v>54500</v>
      </c>
      <c r="C2" s="12">
        <v>41200</v>
      </c>
      <c r="D2" s="12">
        <v>40000</v>
      </c>
      <c r="E2" s="13">
        <v>42621</v>
      </c>
    </row>
    <row r="3" spans="1:5" x14ac:dyDescent="0.25">
      <c r="A3" s="9"/>
      <c r="B3" s="12" t="s">
        <v>132</v>
      </c>
      <c r="C3" s="12" t="s">
        <v>132</v>
      </c>
      <c r="D3" s="12" t="s">
        <v>132</v>
      </c>
      <c r="E3" s="12" t="s">
        <v>132</v>
      </c>
    </row>
    <row r="4" spans="1:5" ht="60" x14ac:dyDescent="0.25">
      <c r="A4" s="11" t="s">
        <v>1</v>
      </c>
      <c r="B4" s="8" t="s">
        <v>41</v>
      </c>
      <c r="C4" s="11" t="s">
        <v>42</v>
      </c>
      <c r="D4" s="10" t="s">
        <v>43</v>
      </c>
      <c r="E4" s="10" t="s">
        <v>44</v>
      </c>
    </row>
    <row r="5" spans="1:5" x14ac:dyDescent="0.25">
      <c r="A5" s="11" t="s">
        <v>3</v>
      </c>
      <c r="B5" s="11" t="s">
        <v>32</v>
      </c>
      <c r="C5" s="11" t="s">
        <v>45</v>
      </c>
      <c r="D5" s="11" t="s">
        <v>45</v>
      </c>
      <c r="E5" s="10"/>
    </row>
    <row r="6" spans="1:5" ht="24" x14ac:dyDescent="0.25">
      <c r="A6" s="11" t="s">
        <v>46</v>
      </c>
      <c r="B6" s="11" t="s">
        <v>47</v>
      </c>
      <c r="C6" s="11" t="s">
        <v>47</v>
      </c>
      <c r="D6" s="11" t="s">
        <v>48</v>
      </c>
      <c r="E6" s="11" t="s">
        <v>48</v>
      </c>
    </row>
    <row r="7" spans="1:5" x14ac:dyDescent="0.25">
      <c r="A7" s="11" t="s">
        <v>49</v>
      </c>
      <c r="B7" s="11" t="s">
        <v>50</v>
      </c>
      <c r="C7" s="11" t="s">
        <v>51</v>
      </c>
      <c r="D7" s="10" t="s">
        <v>52</v>
      </c>
      <c r="E7" s="14" t="s">
        <v>53</v>
      </c>
    </row>
    <row r="8" spans="1:5" ht="24" x14ac:dyDescent="0.25">
      <c r="A8" s="11" t="s">
        <v>11</v>
      </c>
      <c r="B8" s="11" t="s">
        <v>54</v>
      </c>
      <c r="C8" s="11" t="s">
        <v>55</v>
      </c>
      <c r="D8" s="10" t="s">
        <v>55</v>
      </c>
      <c r="E8" s="14" t="s">
        <v>56</v>
      </c>
    </row>
    <row r="9" spans="1:5" x14ac:dyDescent="0.25">
      <c r="A9" s="11" t="s">
        <v>57</v>
      </c>
      <c r="B9" s="11" t="s">
        <v>58</v>
      </c>
      <c r="C9" s="11" t="s">
        <v>58</v>
      </c>
      <c r="D9" s="11" t="s">
        <v>58</v>
      </c>
      <c r="E9" s="15" t="s">
        <v>58</v>
      </c>
    </row>
    <row r="10" spans="1:5" ht="24" x14ac:dyDescent="0.25">
      <c r="A10" s="11" t="s">
        <v>59</v>
      </c>
      <c r="B10" s="11" t="s">
        <v>60</v>
      </c>
      <c r="C10" s="11" t="s">
        <v>61</v>
      </c>
      <c r="D10" s="10" t="s">
        <v>62</v>
      </c>
      <c r="E10" s="10" t="s">
        <v>63</v>
      </c>
    </row>
    <row r="11" spans="1:5" ht="24" x14ac:dyDescent="0.25">
      <c r="A11" s="11" t="s">
        <v>64</v>
      </c>
      <c r="B11" s="11" t="s">
        <v>65</v>
      </c>
      <c r="C11" s="11" t="s">
        <v>66</v>
      </c>
      <c r="D11" s="10" t="s">
        <v>67</v>
      </c>
      <c r="E11" s="10"/>
    </row>
    <row r="12" spans="1:5" ht="24" x14ac:dyDescent="0.25">
      <c r="A12" s="11" t="s">
        <v>68</v>
      </c>
      <c r="B12" s="11" t="s">
        <v>69</v>
      </c>
      <c r="C12" s="11"/>
      <c r="D12" s="10" t="s">
        <v>70</v>
      </c>
      <c r="E12" s="10"/>
    </row>
    <row r="13" spans="1:5" ht="24" x14ac:dyDescent="0.25">
      <c r="A13" s="11" t="s">
        <v>71</v>
      </c>
      <c r="B13" s="11" t="s">
        <v>72</v>
      </c>
      <c r="C13" s="11" t="s">
        <v>73</v>
      </c>
      <c r="D13" s="10" t="s">
        <v>74</v>
      </c>
      <c r="E13" s="10"/>
    </row>
    <row r="14" spans="1:5" x14ac:dyDescent="0.25">
      <c r="A14" s="11" t="s">
        <v>75</v>
      </c>
      <c r="B14" s="11" t="s">
        <v>76</v>
      </c>
      <c r="C14" s="11" t="s">
        <v>77</v>
      </c>
      <c r="D14" s="10" t="s">
        <v>78</v>
      </c>
      <c r="E14" s="10"/>
    </row>
    <row r="15" spans="1:5" ht="24" x14ac:dyDescent="0.25">
      <c r="A15" s="11" t="s">
        <v>79</v>
      </c>
      <c r="B15" s="8" t="s">
        <v>80</v>
      </c>
      <c r="C15" s="12" t="s">
        <v>81</v>
      </c>
      <c r="D15" s="12" t="s">
        <v>81</v>
      </c>
      <c r="E15" s="13" t="s">
        <v>82</v>
      </c>
    </row>
    <row r="16" spans="1:5" ht="24" x14ac:dyDescent="0.25">
      <c r="A16" s="11" t="s">
        <v>83</v>
      </c>
      <c r="B16" s="11" t="s">
        <v>80</v>
      </c>
      <c r="C16" s="11"/>
      <c r="D16" s="10"/>
      <c r="E16" s="10"/>
    </row>
    <row r="17" spans="1:5" ht="48" x14ac:dyDescent="0.25">
      <c r="A17" s="11" t="s">
        <v>84</v>
      </c>
      <c r="B17" s="11" t="s">
        <v>18</v>
      </c>
      <c r="C17" s="11"/>
      <c r="D17" s="10" t="s">
        <v>85</v>
      </c>
      <c r="E17" s="10"/>
    </row>
    <row r="18" spans="1:5" ht="24" x14ac:dyDescent="0.25">
      <c r="A18" s="11" t="s">
        <v>23</v>
      </c>
      <c r="B18" s="11" t="s">
        <v>86</v>
      </c>
      <c r="C18" s="11" t="s">
        <v>87</v>
      </c>
      <c r="D18" s="11" t="s">
        <v>88</v>
      </c>
      <c r="E18" s="15" t="s">
        <v>89</v>
      </c>
    </row>
    <row r="19" spans="1:5" x14ac:dyDescent="0.25">
      <c r="A19" s="11" t="s">
        <v>90</v>
      </c>
      <c r="B19" s="11" t="s">
        <v>91</v>
      </c>
      <c r="C19" s="11" t="s">
        <v>91</v>
      </c>
      <c r="D19" s="11" t="s">
        <v>91</v>
      </c>
      <c r="E19" s="10"/>
    </row>
    <row r="20" spans="1:5" ht="24" x14ac:dyDescent="0.25">
      <c r="A20" s="11" t="s">
        <v>92</v>
      </c>
      <c r="B20" s="11" t="s">
        <v>93</v>
      </c>
      <c r="C20" s="11" t="s">
        <v>94</v>
      </c>
      <c r="D20" s="11" t="s">
        <v>94</v>
      </c>
      <c r="E20" s="10"/>
    </row>
    <row r="21" spans="1:5" ht="24" x14ac:dyDescent="0.25">
      <c r="A21" s="9" t="s">
        <v>95</v>
      </c>
      <c r="B21" s="11" t="s">
        <v>96</v>
      </c>
      <c r="C21" s="11" t="s">
        <v>97</v>
      </c>
      <c r="D21" s="10" t="s">
        <v>98</v>
      </c>
      <c r="E21" s="14" t="s">
        <v>99</v>
      </c>
    </row>
    <row r="22" spans="1:5" ht="48" x14ac:dyDescent="0.25">
      <c r="A22" s="9" t="s">
        <v>100</v>
      </c>
      <c r="B22" s="11" t="s">
        <v>101</v>
      </c>
      <c r="C22" s="10" t="s">
        <v>102</v>
      </c>
      <c r="D22" s="10" t="s">
        <v>103</v>
      </c>
      <c r="E22" s="14" t="s">
        <v>104</v>
      </c>
    </row>
    <row r="23" spans="1:5" x14ac:dyDescent="0.25">
      <c r="A23" s="9" t="s">
        <v>27</v>
      </c>
      <c r="B23" s="11" t="s">
        <v>105</v>
      </c>
      <c r="C23" s="10" t="s">
        <v>106</v>
      </c>
      <c r="D23" s="10" t="s">
        <v>106</v>
      </c>
      <c r="E23" s="10" t="s">
        <v>106</v>
      </c>
    </row>
    <row r="24" spans="1:5" ht="24" x14ac:dyDescent="0.25">
      <c r="A24" s="11" t="s">
        <v>29</v>
      </c>
      <c r="B24" s="11" t="s">
        <v>30</v>
      </c>
      <c r="C24" s="11" t="s">
        <v>30</v>
      </c>
      <c r="D24" s="11" t="s">
        <v>30</v>
      </c>
      <c r="E24" s="11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Views>
    <sheetView workbookViewId="0">
      <selection activeCell="B29" sqref="B29"/>
    </sheetView>
  </sheetViews>
  <sheetFormatPr defaultRowHeight="15" x14ac:dyDescent="0.25"/>
  <cols>
    <col min="2" max="2" width="48.5703125" customWidth="1"/>
    <col min="3" max="3" width="16.42578125" customWidth="1"/>
  </cols>
  <sheetData>
    <row r="1" spans="1:3" x14ac:dyDescent="0.25">
      <c r="A1" s="16" t="s">
        <v>126</v>
      </c>
    </row>
    <row r="2" spans="1:3" x14ac:dyDescent="0.25">
      <c r="C2" s="16" t="s">
        <v>107</v>
      </c>
    </row>
    <row r="3" spans="1:3" x14ac:dyDescent="0.25">
      <c r="B3" t="s">
        <v>127</v>
      </c>
      <c r="C3" s="16" t="s">
        <v>128</v>
      </c>
    </row>
    <row r="4" spans="1:3" x14ac:dyDescent="0.25">
      <c r="C4" s="16"/>
    </row>
    <row r="5" spans="1:3" x14ac:dyDescent="0.25">
      <c r="B5" s="16" t="s">
        <v>108</v>
      </c>
      <c r="C5" s="16">
        <v>44000</v>
      </c>
    </row>
    <row r="6" spans="1:3" x14ac:dyDescent="0.25">
      <c r="B6" t="s">
        <v>2</v>
      </c>
    </row>
    <row r="7" spans="1:3" x14ac:dyDescent="0.25">
      <c r="B7" s="16" t="s">
        <v>109</v>
      </c>
    </row>
    <row r="8" spans="1:3" x14ac:dyDescent="0.25">
      <c r="B8" t="s">
        <v>110</v>
      </c>
    </row>
    <row r="9" spans="1:3" x14ac:dyDescent="0.25">
      <c r="B9" t="s">
        <v>111</v>
      </c>
    </row>
    <row r="11" spans="1:3" x14ac:dyDescent="0.25">
      <c r="B11" s="16" t="s">
        <v>112</v>
      </c>
      <c r="C11" s="16">
        <v>40000</v>
      </c>
    </row>
    <row r="12" spans="1:3" x14ac:dyDescent="0.25">
      <c r="B12" t="s">
        <v>113</v>
      </c>
    </row>
    <row r="13" spans="1:3" x14ac:dyDescent="0.25">
      <c r="B13" s="16" t="s">
        <v>114</v>
      </c>
    </row>
    <row r="14" spans="1:3" x14ac:dyDescent="0.25">
      <c r="B14" t="s">
        <v>110</v>
      </c>
    </row>
    <row r="15" spans="1:3" x14ac:dyDescent="0.25">
      <c r="B15" t="s">
        <v>111</v>
      </c>
    </row>
    <row r="17" spans="2:3" x14ac:dyDescent="0.25">
      <c r="B17" s="16" t="s">
        <v>115</v>
      </c>
      <c r="C17" s="16">
        <v>48000</v>
      </c>
    </row>
    <row r="18" spans="2:3" x14ac:dyDescent="0.25">
      <c r="B18" t="s">
        <v>116</v>
      </c>
    </row>
    <row r="19" spans="2:3" x14ac:dyDescent="0.25">
      <c r="B19" s="16" t="s">
        <v>109</v>
      </c>
    </row>
    <row r="20" spans="2:3" x14ac:dyDescent="0.25">
      <c r="B20" t="s">
        <v>110</v>
      </c>
    </row>
    <row r="21" spans="2:3" x14ac:dyDescent="0.25">
      <c r="B21" t="s">
        <v>117</v>
      </c>
    </row>
    <row r="22" spans="2:3" x14ac:dyDescent="0.25">
      <c r="B22" t="s">
        <v>118</v>
      </c>
    </row>
    <row r="24" spans="2:3" x14ac:dyDescent="0.25">
      <c r="B24" s="16" t="s">
        <v>119</v>
      </c>
      <c r="C24" s="16">
        <v>52000</v>
      </c>
    </row>
    <row r="25" spans="2:3" x14ac:dyDescent="0.25">
      <c r="B25" s="16" t="s">
        <v>120</v>
      </c>
    </row>
    <row r="26" spans="2:3" x14ac:dyDescent="0.25">
      <c r="B26" t="s">
        <v>121</v>
      </c>
    </row>
    <row r="27" spans="2:3" x14ac:dyDescent="0.25">
      <c r="B27" t="s">
        <v>122</v>
      </c>
    </row>
    <row r="28" spans="2:3" x14ac:dyDescent="0.25">
      <c r="B28" t="s">
        <v>123</v>
      </c>
    </row>
    <row r="29" spans="2:3" x14ac:dyDescent="0.25">
      <c r="B29" s="16" t="s">
        <v>124</v>
      </c>
    </row>
    <row r="30" spans="2:3" x14ac:dyDescent="0.25">
      <c r="B30" t="s">
        <v>123</v>
      </c>
    </row>
    <row r="31" spans="2:3" x14ac:dyDescent="0.25">
      <c r="B31" t="s">
        <v>125</v>
      </c>
    </row>
    <row r="33" spans="2:3" x14ac:dyDescent="0.25">
      <c r="B33" s="17" t="s">
        <v>129</v>
      </c>
      <c r="C33">
        <v>12500</v>
      </c>
    </row>
    <row r="36" spans="2:3" x14ac:dyDescent="0.25">
      <c r="B36" t="s">
        <v>130</v>
      </c>
      <c r="C36">
        <f>(C24+C33)*50</f>
        <v>3225000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BUDGETORY OFFER</vt:lpstr>
      <vt:lpstr>Modelwise</vt:lpstr>
      <vt:lpstr>Sheet3</vt:lpstr>
      <vt:lpstr>'BUDGETORY OFFER'!OLE_LINK26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 User</dc:creator>
  <cp:lastModifiedBy>System User</cp:lastModifiedBy>
  <dcterms:created xsi:type="dcterms:W3CDTF">2016-11-08T06:36:03Z</dcterms:created>
  <dcterms:modified xsi:type="dcterms:W3CDTF">2016-12-08T10:40:46Z</dcterms:modified>
</cp:coreProperties>
</file>