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.KRIBHCOSURAT.000\Desktop\ROHIT GUPTA\QCS\"/>
    </mc:Choice>
  </mc:AlternateContent>
  <bookViews>
    <workbookView xWindow="360" yWindow="300" windowWidth="14880" windowHeight="7815"/>
  </bookViews>
  <sheets>
    <sheet name="WS" sheetId="2" r:id="rId1"/>
    <sheet name="HAEP" sheetId="1" r:id="rId2"/>
  </sheets>
  <definedNames>
    <definedName name="_xlnm.Print_Area" localSheetId="1">HAEP!$A$1:$L$29</definedName>
    <definedName name="_xlnm.Print_Area" localSheetId="0">WS!$A$1:$H$29</definedName>
    <definedName name="_xlnm.Print_Titles" localSheetId="1">HAEP!$A:$D,HAEP!$1:$3</definedName>
    <definedName name="_xlnm.Print_Titles" localSheetId="0">WS!$A:$D,WS!$1:$3</definedName>
  </definedNames>
  <calcPr calcId="162913"/>
</workbook>
</file>

<file path=xl/calcChain.xml><?xml version="1.0" encoding="utf-8"?>
<calcChain xmlns="http://schemas.openxmlformats.org/spreadsheetml/2006/main">
  <c r="H6" i="2" l="1"/>
  <c r="H5" i="2"/>
  <c r="H4" i="2"/>
  <c r="H7" i="2" l="1"/>
  <c r="H8" i="2" s="1"/>
  <c r="F5" i="2"/>
  <c r="F4" i="2"/>
  <c r="H9" i="2" l="1"/>
  <c r="H10" i="2"/>
  <c r="F6" i="2"/>
  <c r="H4" i="1"/>
  <c r="H11" i="2" l="1"/>
  <c r="H13" i="2"/>
  <c r="H12" i="2"/>
  <c r="H15" i="2"/>
  <c r="H14" i="2"/>
  <c r="F7" i="2"/>
  <c r="F8" i="2" s="1"/>
  <c r="F10" i="2" s="1"/>
  <c r="L5" i="1"/>
  <c r="L4" i="1"/>
  <c r="F9" i="2" l="1"/>
  <c r="F11" i="2" s="1"/>
  <c r="F14" i="2" s="1"/>
  <c r="L6" i="1"/>
  <c r="L7" i="1" s="1"/>
  <c r="L8" i="1" s="1"/>
  <c r="J5" i="1"/>
  <c r="J4" i="1"/>
  <c r="F12" i="2" l="1"/>
  <c r="F13" i="2"/>
  <c r="L10" i="1"/>
  <c r="L9" i="1"/>
  <c r="J6" i="1"/>
  <c r="J7" i="1" s="1"/>
  <c r="J8" i="1" s="1"/>
  <c r="F5" i="1"/>
  <c r="H5" i="1"/>
  <c r="F15" i="2" l="1"/>
  <c r="L11" i="1"/>
  <c r="L13" i="1" s="1"/>
  <c r="J9" i="1"/>
  <c r="J10" i="1"/>
  <c r="H6" i="1"/>
  <c r="F4" i="1"/>
  <c r="L14" i="1" l="1"/>
  <c r="L12" i="1"/>
  <c r="J11" i="1"/>
  <c r="J12" i="1" s="1"/>
  <c r="H7" i="1"/>
  <c r="H8" i="1" s="1"/>
  <c r="F6" i="1"/>
  <c r="L15" i="1" l="1"/>
  <c r="J13" i="1"/>
  <c r="J14" i="1"/>
  <c r="H9" i="1"/>
  <c r="H10" i="1"/>
  <c r="J15" i="1" l="1"/>
  <c r="H11" i="1"/>
  <c r="H12" i="1" s="1"/>
  <c r="H14" i="1" l="1"/>
  <c r="H13" i="1"/>
  <c r="H15" i="1" l="1"/>
  <c r="F7" i="1"/>
  <c r="F8" i="1" s="1"/>
  <c r="F10" i="1" l="1"/>
  <c r="F9" i="1"/>
  <c r="F11" i="1" l="1"/>
  <c r="F14" i="1" s="1"/>
  <c r="F12" i="1" l="1"/>
  <c r="F13" i="1"/>
  <c r="F15" i="1" l="1"/>
</calcChain>
</file>

<file path=xl/sharedStrings.xml><?xml version="1.0" encoding="utf-8"?>
<sst xmlns="http://schemas.openxmlformats.org/spreadsheetml/2006/main" count="148" uniqueCount="51">
  <si>
    <t>SN</t>
  </si>
  <si>
    <t>TOTAL</t>
  </si>
  <si>
    <t>SUBTOTAL</t>
  </si>
  <si>
    <t>FOR KRIBHCO</t>
  </si>
  <si>
    <t xml:space="preserve"> TAXABLE  VALUE</t>
  </si>
  <si>
    <t>P &amp; F CHARGES (in %)</t>
  </si>
  <si>
    <t>FREIGHT (in %)</t>
  </si>
  <si>
    <t>INSURANCE (in %)</t>
  </si>
  <si>
    <t>TOTAL WITH TAX</t>
  </si>
  <si>
    <t>GST</t>
  </si>
  <si>
    <t>TRANSPORTATION UPTO KRIBHCO SITE</t>
  </si>
  <si>
    <t>INSURANCE (IN %)</t>
  </si>
  <si>
    <t>CGST @9% EXTRA</t>
  </si>
  <si>
    <t>SGST @9% EXTRA</t>
  </si>
  <si>
    <t>INCLUSIVE</t>
  </si>
  <si>
    <t>Comml summary @</t>
  </si>
  <si>
    <t>P&amp;F CHARGES</t>
  </si>
  <si>
    <t>YES</t>
  </si>
  <si>
    <t>FIRMNESS OF PRICES TILL COMPLETE EXECUTION OF ORDER</t>
  </si>
  <si>
    <t>ACCEPTANCE OF N.I.T. TERMS &amp; CONDITIONS</t>
  </si>
  <si>
    <t>HSN CODE</t>
  </si>
  <si>
    <t>IGST @18% EXTRA</t>
  </si>
  <si>
    <t>Item Code</t>
  </si>
  <si>
    <t>Descritpion</t>
  </si>
  <si>
    <t xml:space="preserve">PRICE BASIS </t>
  </si>
  <si>
    <t>VALIDITY</t>
  </si>
  <si>
    <t>Unit Rate (Rs.)</t>
  </si>
  <si>
    <t>Amount (Rs.)</t>
  </si>
  <si>
    <t xml:space="preserve">CGST @9% + SGST @9% EXTRA </t>
  </si>
  <si>
    <t>M/s. Creative Infotech</t>
  </si>
  <si>
    <t>M/s. Jupiter Automation</t>
  </si>
  <si>
    <t xml:space="preserve">On-site comprehensive Warranty as per specs. </t>
  </si>
  <si>
    <t xml:space="preserve">Submission of OEM Authorization letter as per specs. </t>
  </si>
  <si>
    <t>Qty (Nos.)</t>
  </si>
  <si>
    <t>M/s. Silver Touch</t>
  </si>
  <si>
    <t>M/s. TM Solutech</t>
  </si>
  <si>
    <t>Microsoft Office LTSC Standard   Microsoft Office Standard Edition #
LTSC 2024 or higher 32/64 bit as per attached tech. specs. (Annexure-1)</t>
  </si>
  <si>
    <t>PC NODES AS PER SPECIFICATION ATTECHED.                                         Business PC (DELL/ HP/ LENOVO) Tower FF Intel® Core# i5 - 14th Generation or above   64-bit Processor8GB (1 x 8GB) DDR5 Memory expandable to minimum 16 GB Primary HDD - SSD Min 512GB M.2
NVME Secondary HDD - SSD Min 512GB as per attached tech. specs. (Annexure-1)</t>
  </si>
  <si>
    <t xml:space="preserve">DELIVERY PERIOD: Preferably within 4-6 weeks from receipt of P.O. and Installation of the same shall be carried-out within 6 weeks from receipt of material at KRIBHCO as per specs. </t>
  </si>
  <si>
    <t xml:space="preserve">PAYMENT TERMS: 100% payment shall be released within 30 days of receipt, acceptance and successful installation / activation of system at site </t>
  </si>
  <si>
    <t>P-148</t>
  </si>
  <si>
    <t>20.05.2025</t>
  </si>
  <si>
    <t>P-139</t>
  </si>
  <si>
    <t>P-125</t>
  </si>
  <si>
    <t>84714900/997331</t>
  </si>
  <si>
    <t>P-72</t>
  </si>
  <si>
    <t>84713010/997331</t>
  </si>
  <si>
    <t>PRICED QCS -  P063000177 - Supply, Installation &amp; Configuration for Desktop PCs &amp; MS Office</t>
  </si>
  <si>
    <t>WORKSHEET AFTER REVERSE E-AUCTION &amp; NEGOTIATION</t>
  </si>
  <si>
    <t>After Reverse e-auction</t>
  </si>
  <si>
    <t>After Negotiation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</si>
</sst>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</font>
    <font>
      <b/>
      <sz val="16"/>
      <color theme="1"/>
      <name val="Cambria"/>
      <family val="1"/>
      <scheme val="major"/>
    </font>
    <font>
      <b/>
      <sz val="20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6" fillId="0" borderId="0" xfId="0" applyFont="1" applyFill="1"/>
    <xf numFmtId="0" fontId="5" fillId="0" borderId="0" xfId="0" applyFont="1" applyFill="1" applyAlignment="1">
      <alignment wrapText="1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3" fontId="6" fillId="0" borderId="1" xfId="1" applyFont="1" applyBorder="1" applyAlignment="1">
      <alignment horizontal="center" vertical="center" wrapText="1"/>
    </xf>
    <xf numFmtId="43" fontId="6" fillId="0" borderId="1" xfId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43" fontId="5" fillId="0" borderId="1" xfId="0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wrapText="1"/>
    </xf>
    <xf numFmtId="0" fontId="6" fillId="0" borderId="0" xfId="0" applyFont="1" applyFill="1" applyBorder="1" applyAlignment="1">
      <alignment horizontal="center"/>
    </xf>
    <xf numFmtId="43" fontId="5" fillId="0" borderId="1" xfId="1" applyFont="1" applyFill="1" applyBorder="1" applyAlignment="1">
      <alignment vertical="center"/>
    </xf>
    <xf numFmtId="9" fontId="6" fillId="0" borderId="1" xfId="0" applyNumberFormat="1" applyFont="1" applyFill="1" applyBorder="1" applyAlignment="1">
      <alignment horizontal="center" vertical="center"/>
    </xf>
    <xf numFmtId="43" fontId="6" fillId="0" borderId="1" xfId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3" fontId="8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43" fontId="5" fillId="0" borderId="1" xfId="1" applyFont="1" applyFill="1" applyBorder="1" applyAlignment="1">
      <alignment horizontal="center" vertical="center" wrapText="1"/>
    </xf>
    <xf numFmtId="43" fontId="5" fillId="3" borderId="1" xfId="1" applyFont="1" applyFill="1" applyBorder="1" applyAlignment="1">
      <alignment vertical="center"/>
    </xf>
    <xf numFmtId="43" fontId="5" fillId="3" borderId="1" xfId="0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vertical="center" wrapText="1"/>
    </xf>
    <xf numFmtId="9" fontId="7" fillId="0" borderId="2" xfId="0" applyNumberFormat="1" applyFont="1" applyFill="1" applyBorder="1" applyAlignment="1">
      <alignment vertical="center" wrapText="1"/>
    </xf>
    <xf numFmtId="9" fontId="7" fillId="0" borderId="3" xfId="0" applyNumberFormat="1" applyFont="1" applyFill="1" applyBorder="1" applyAlignment="1">
      <alignment vertical="center" wrapText="1"/>
    </xf>
    <xf numFmtId="9" fontId="7" fillId="0" borderId="4" xfId="0" applyNumberFormat="1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9" fontId="7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5">
    <cellStyle name="Comma" xfId="1" builtinId="3"/>
    <cellStyle name="Hyperlink 2" xfId="4"/>
    <cellStyle name="Normal" xfId="0" builtinId="0"/>
    <cellStyle name="Normal 2" xfId="2"/>
    <cellStyle name="Normal 3" xfId="3"/>
  </cellStyles>
  <dxfs count="2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view="pageBreakPreview" topLeftCell="B1" zoomScale="115" zoomScaleNormal="100" zoomScaleSheetLayoutView="115" workbookViewId="0">
      <selection activeCell="I3" sqref="I3:J3"/>
    </sheetView>
  </sheetViews>
  <sheetFormatPr defaultRowHeight="14.25" x14ac:dyDescent="0.2"/>
  <cols>
    <col min="1" max="1" width="3.85546875" style="1" bestFit="1" customWidth="1"/>
    <col min="2" max="2" width="12.42578125" style="1" bestFit="1" customWidth="1"/>
    <col min="3" max="3" width="44.85546875" style="10" bestFit="1" customWidth="1"/>
    <col min="4" max="4" width="7.140625" style="11" bestFit="1" customWidth="1"/>
    <col min="5" max="5" width="10.7109375" style="1" bestFit="1" customWidth="1"/>
    <col min="6" max="6" width="15.140625" style="1" bestFit="1" customWidth="1"/>
    <col min="7" max="7" width="10.7109375" style="1" bestFit="1" customWidth="1"/>
    <col min="8" max="8" width="15.140625" style="1" bestFit="1" customWidth="1"/>
    <col min="9" max="16384" width="9.140625" style="1"/>
  </cols>
  <sheetData>
    <row r="1" spans="1:8" ht="29.25" customHeight="1" x14ac:dyDescent="0.2">
      <c r="A1" s="41" t="s">
        <v>48</v>
      </c>
      <c r="B1" s="41"/>
      <c r="C1" s="41"/>
      <c r="D1" s="41"/>
      <c r="E1" s="41"/>
      <c r="F1" s="41"/>
      <c r="G1" s="41"/>
      <c r="H1" s="41"/>
    </row>
    <row r="2" spans="1:8" s="2" customFormat="1" ht="33.75" customHeight="1" x14ac:dyDescent="0.2">
      <c r="A2" s="40" t="s">
        <v>35</v>
      </c>
      <c r="B2" s="40"/>
      <c r="C2" s="40"/>
      <c r="D2" s="40"/>
      <c r="E2" s="39" t="s">
        <v>49</v>
      </c>
      <c r="F2" s="39"/>
      <c r="G2" s="39" t="s">
        <v>50</v>
      </c>
      <c r="H2" s="39"/>
    </row>
    <row r="3" spans="1:8" s="4" customFormat="1" ht="33" customHeight="1" x14ac:dyDescent="0.25">
      <c r="A3" s="3" t="s">
        <v>0</v>
      </c>
      <c r="B3" s="3" t="s">
        <v>22</v>
      </c>
      <c r="C3" s="24" t="s">
        <v>23</v>
      </c>
      <c r="D3" s="24" t="s">
        <v>33</v>
      </c>
      <c r="E3" s="24" t="s">
        <v>26</v>
      </c>
      <c r="F3" s="21" t="s">
        <v>27</v>
      </c>
      <c r="G3" s="24" t="s">
        <v>26</v>
      </c>
      <c r="H3" s="21" t="s">
        <v>27</v>
      </c>
    </row>
    <row r="4" spans="1:8" s="4" customFormat="1" ht="64.5" customHeight="1" x14ac:dyDescent="0.25">
      <c r="A4" s="3">
        <v>1</v>
      </c>
      <c r="B4" s="19">
        <v>1800003110</v>
      </c>
      <c r="C4" s="20" t="s">
        <v>36</v>
      </c>
      <c r="D4" s="16">
        <v>60</v>
      </c>
      <c r="E4" s="5">
        <v>36925</v>
      </c>
      <c r="F4" s="6">
        <f t="shared" ref="F4:F5" si="0">E4*$D4</f>
        <v>2215500</v>
      </c>
      <c r="G4" s="5">
        <v>36775</v>
      </c>
      <c r="H4" s="6">
        <f t="shared" ref="H4:H5" si="1">G4*$D4</f>
        <v>2206500</v>
      </c>
    </row>
    <row r="5" spans="1:8" s="4" customFormat="1" ht="125.25" customHeight="1" x14ac:dyDescent="0.25">
      <c r="A5" s="3">
        <v>2</v>
      </c>
      <c r="B5" s="19">
        <v>1800003132</v>
      </c>
      <c r="C5" s="20" t="s">
        <v>37</v>
      </c>
      <c r="D5" s="16">
        <v>60</v>
      </c>
      <c r="E5" s="5">
        <v>62300</v>
      </c>
      <c r="F5" s="6">
        <f t="shared" si="0"/>
        <v>3738000</v>
      </c>
      <c r="G5" s="5">
        <v>62300</v>
      </c>
      <c r="H5" s="6">
        <f t="shared" si="1"/>
        <v>3738000</v>
      </c>
    </row>
    <row r="6" spans="1:8" s="9" customFormat="1" x14ac:dyDescent="0.25">
      <c r="A6" s="3">
        <v>3</v>
      </c>
      <c r="B6" s="38" t="s">
        <v>1</v>
      </c>
      <c r="C6" s="38"/>
      <c r="D6" s="38"/>
      <c r="E6" s="12"/>
      <c r="F6" s="12">
        <f>SUM(F4:F5)</f>
        <v>5953500</v>
      </c>
      <c r="G6" s="12"/>
      <c r="H6" s="12">
        <f>SUM(H4:H5)</f>
        <v>5944500</v>
      </c>
    </row>
    <row r="7" spans="1:8" s="15" customFormat="1" x14ac:dyDescent="0.25">
      <c r="A7" s="3">
        <v>4</v>
      </c>
      <c r="B7" s="37" t="s">
        <v>5</v>
      </c>
      <c r="C7" s="37"/>
      <c r="D7" s="37"/>
      <c r="E7" s="13">
        <v>0</v>
      </c>
      <c r="F7" s="14">
        <f>F6*E7</f>
        <v>0</v>
      </c>
      <c r="G7" s="13">
        <v>0</v>
      </c>
      <c r="H7" s="14">
        <f>H6*G7</f>
        <v>0</v>
      </c>
    </row>
    <row r="8" spans="1:8" s="9" customFormat="1" x14ac:dyDescent="0.25">
      <c r="A8" s="3">
        <v>5</v>
      </c>
      <c r="B8" s="42" t="s">
        <v>2</v>
      </c>
      <c r="C8" s="42"/>
      <c r="D8" s="42"/>
      <c r="E8" s="3"/>
      <c r="F8" s="12">
        <f>F6+F7</f>
        <v>5953500</v>
      </c>
      <c r="G8" s="3"/>
      <c r="H8" s="12">
        <f>H6+H7</f>
        <v>5944500</v>
      </c>
    </row>
    <row r="9" spans="1:8" s="15" customFormat="1" x14ac:dyDescent="0.25">
      <c r="A9" s="3">
        <v>6</v>
      </c>
      <c r="B9" s="37" t="s">
        <v>6</v>
      </c>
      <c r="C9" s="37"/>
      <c r="D9" s="37"/>
      <c r="E9" s="13">
        <v>0</v>
      </c>
      <c r="F9" s="14">
        <f>F8*E9</f>
        <v>0</v>
      </c>
      <c r="G9" s="13">
        <v>0</v>
      </c>
      <c r="H9" s="14">
        <f>H8*G9</f>
        <v>0</v>
      </c>
    </row>
    <row r="10" spans="1:8" s="15" customFormat="1" x14ac:dyDescent="0.25">
      <c r="A10" s="3">
        <v>7</v>
      </c>
      <c r="B10" s="37" t="s">
        <v>7</v>
      </c>
      <c r="C10" s="37"/>
      <c r="D10" s="37"/>
      <c r="E10" s="13">
        <v>0</v>
      </c>
      <c r="F10" s="14">
        <f>F8*E10</f>
        <v>0</v>
      </c>
      <c r="G10" s="13">
        <v>0</v>
      </c>
      <c r="H10" s="14">
        <f>H8*G10</f>
        <v>0</v>
      </c>
    </row>
    <row r="11" spans="1:8" s="9" customFormat="1" x14ac:dyDescent="0.25">
      <c r="A11" s="3">
        <v>8</v>
      </c>
      <c r="B11" s="42" t="s">
        <v>4</v>
      </c>
      <c r="C11" s="42"/>
      <c r="D11" s="42"/>
      <c r="E11" s="3"/>
      <c r="F11" s="12">
        <f>F8+F9+F10</f>
        <v>5953500</v>
      </c>
      <c r="G11" s="3"/>
      <c r="H11" s="12">
        <f>H8+H9+H10</f>
        <v>5944500</v>
      </c>
    </row>
    <row r="12" spans="1:8" s="9" customFormat="1" x14ac:dyDescent="0.25">
      <c r="A12" s="3">
        <v>9</v>
      </c>
      <c r="B12" s="37" t="s">
        <v>12</v>
      </c>
      <c r="C12" s="37"/>
      <c r="D12" s="37"/>
      <c r="E12" s="13">
        <v>0.09</v>
      </c>
      <c r="F12" s="14">
        <f>F11*E12</f>
        <v>535815</v>
      </c>
      <c r="G12" s="13">
        <v>0.09</v>
      </c>
      <c r="H12" s="14">
        <f>H11*G12</f>
        <v>535005</v>
      </c>
    </row>
    <row r="13" spans="1:8" s="9" customFormat="1" x14ac:dyDescent="0.25">
      <c r="A13" s="3">
        <v>10</v>
      </c>
      <c r="B13" s="37" t="s">
        <v>13</v>
      </c>
      <c r="C13" s="37"/>
      <c r="D13" s="37"/>
      <c r="E13" s="13">
        <v>0.09</v>
      </c>
      <c r="F13" s="14">
        <f>F11*E13</f>
        <v>535815</v>
      </c>
      <c r="G13" s="13">
        <v>0.09</v>
      </c>
      <c r="H13" s="14">
        <f>H11*G13</f>
        <v>535005</v>
      </c>
    </row>
    <row r="14" spans="1:8" s="9" customFormat="1" x14ac:dyDescent="0.25">
      <c r="A14" s="3">
        <v>11</v>
      </c>
      <c r="B14" s="37" t="s">
        <v>21</v>
      </c>
      <c r="C14" s="37"/>
      <c r="D14" s="37"/>
      <c r="E14" s="13">
        <v>0</v>
      </c>
      <c r="F14" s="14">
        <f>F11*E14</f>
        <v>0</v>
      </c>
      <c r="G14" s="13">
        <v>0</v>
      </c>
      <c r="H14" s="14">
        <f>H11*G14</f>
        <v>0</v>
      </c>
    </row>
    <row r="15" spans="1:8" s="9" customFormat="1" x14ac:dyDescent="0.25">
      <c r="A15" s="3">
        <v>12</v>
      </c>
      <c r="B15" s="42" t="s">
        <v>8</v>
      </c>
      <c r="C15" s="42"/>
      <c r="D15" s="42"/>
      <c r="E15" s="7"/>
      <c r="F15" s="8">
        <f>F11+F12+F13+F14</f>
        <v>7025130</v>
      </c>
      <c r="G15" s="7"/>
      <c r="H15" s="8">
        <f>H11+H12+H13+H14</f>
        <v>7014510</v>
      </c>
    </row>
    <row r="16" spans="1:8" ht="20.25" customHeight="1" x14ac:dyDescent="0.2">
      <c r="A16" s="3">
        <v>13</v>
      </c>
      <c r="B16" s="44" t="s">
        <v>15</v>
      </c>
      <c r="C16" s="44"/>
      <c r="D16" s="44"/>
      <c r="E16" s="25" t="s">
        <v>45</v>
      </c>
      <c r="F16" s="26"/>
      <c r="G16" s="26"/>
      <c r="H16" s="27"/>
    </row>
    <row r="17" spans="1:8" ht="14.25" customHeight="1" x14ac:dyDescent="0.2">
      <c r="A17" s="3">
        <v>14</v>
      </c>
      <c r="B17" s="43" t="s">
        <v>24</v>
      </c>
      <c r="C17" s="43"/>
      <c r="D17" s="43"/>
      <c r="E17" s="28" t="s">
        <v>3</v>
      </c>
      <c r="F17" s="29"/>
      <c r="G17" s="29"/>
      <c r="H17" s="30"/>
    </row>
    <row r="18" spans="1:8" ht="14.25" customHeight="1" x14ac:dyDescent="0.2">
      <c r="A18" s="3">
        <v>15</v>
      </c>
      <c r="B18" s="43" t="s">
        <v>16</v>
      </c>
      <c r="C18" s="43"/>
      <c r="D18" s="43"/>
      <c r="E18" s="28" t="s">
        <v>14</v>
      </c>
      <c r="F18" s="29"/>
      <c r="G18" s="29"/>
      <c r="H18" s="30"/>
    </row>
    <row r="19" spans="1:8" x14ac:dyDescent="0.2">
      <c r="A19" s="3">
        <v>16</v>
      </c>
      <c r="B19" s="43" t="s">
        <v>9</v>
      </c>
      <c r="C19" s="43"/>
      <c r="D19" s="43"/>
      <c r="E19" s="28" t="s">
        <v>28</v>
      </c>
      <c r="F19" s="29"/>
      <c r="G19" s="29"/>
      <c r="H19" s="30"/>
    </row>
    <row r="20" spans="1:8" ht="14.25" customHeight="1" x14ac:dyDescent="0.2">
      <c r="A20" s="3">
        <v>17</v>
      </c>
      <c r="B20" s="43" t="s">
        <v>10</v>
      </c>
      <c r="C20" s="43"/>
      <c r="D20" s="43"/>
      <c r="E20" s="28" t="s">
        <v>14</v>
      </c>
      <c r="F20" s="29"/>
      <c r="G20" s="29"/>
      <c r="H20" s="30"/>
    </row>
    <row r="21" spans="1:8" ht="14.25" customHeight="1" x14ac:dyDescent="0.2">
      <c r="A21" s="3">
        <v>18</v>
      </c>
      <c r="B21" s="43" t="s">
        <v>11</v>
      </c>
      <c r="C21" s="43"/>
      <c r="D21" s="43"/>
      <c r="E21" s="28" t="s">
        <v>14</v>
      </c>
      <c r="F21" s="29"/>
      <c r="G21" s="29"/>
      <c r="H21" s="30"/>
    </row>
    <row r="22" spans="1:8" ht="47.25" customHeight="1" x14ac:dyDescent="0.2">
      <c r="A22" s="3">
        <v>19</v>
      </c>
      <c r="B22" s="43" t="s">
        <v>38</v>
      </c>
      <c r="C22" s="43"/>
      <c r="D22" s="43"/>
      <c r="E22" s="28" t="s">
        <v>17</v>
      </c>
      <c r="F22" s="29"/>
      <c r="G22" s="29"/>
      <c r="H22" s="30"/>
    </row>
    <row r="23" spans="1:8" ht="45" customHeight="1" x14ac:dyDescent="0.2">
      <c r="A23" s="3">
        <v>20</v>
      </c>
      <c r="B23" s="43" t="s">
        <v>39</v>
      </c>
      <c r="C23" s="43"/>
      <c r="D23" s="43"/>
      <c r="E23" s="28" t="s">
        <v>17</v>
      </c>
      <c r="F23" s="29"/>
      <c r="G23" s="29"/>
      <c r="H23" s="30"/>
    </row>
    <row r="24" spans="1:8" x14ac:dyDescent="0.2">
      <c r="A24" s="3">
        <v>21</v>
      </c>
      <c r="B24" s="43" t="s">
        <v>31</v>
      </c>
      <c r="C24" s="43"/>
      <c r="D24" s="43"/>
      <c r="E24" s="28" t="s">
        <v>17</v>
      </c>
      <c r="F24" s="29"/>
      <c r="G24" s="29"/>
      <c r="H24" s="30"/>
    </row>
    <row r="25" spans="1:8" ht="14.25" customHeight="1" x14ac:dyDescent="0.2">
      <c r="A25" s="3">
        <v>22</v>
      </c>
      <c r="B25" s="43" t="s">
        <v>25</v>
      </c>
      <c r="C25" s="43"/>
      <c r="D25" s="43"/>
      <c r="E25" s="31" t="s">
        <v>41</v>
      </c>
      <c r="F25" s="32"/>
      <c r="G25" s="32"/>
      <c r="H25" s="33"/>
    </row>
    <row r="26" spans="1:8" x14ac:dyDescent="0.2">
      <c r="A26" s="3">
        <v>23</v>
      </c>
      <c r="B26" s="43" t="s">
        <v>18</v>
      </c>
      <c r="C26" s="43"/>
      <c r="D26" s="43"/>
      <c r="E26" s="31" t="s">
        <v>17</v>
      </c>
      <c r="F26" s="32"/>
      <c r="G26" s="32"/>
      <c r="H26" s="33"/>
    </row>
    <row r="27" spans="1:8" x14ac:dyDescent="0.2">
      <c r="A27" s="3">
        <v>24</v>
      </c>
      <c r="B27" s="43" t="s">
        <v>19</v>
      </c>
      <c r="C27" s="43"/>
      <c r="D27" s="43"/>
      <c r="E27" s="28" t="s">
        <v>17</v>
      </c>
      <c r="F27" s="29"/>
      <c r="G27" s="29"/>
      <c r="H27" s="30"/>
    </row>
    <row r="28" spans="1:8" ht="14.25" customHeight="1" x14ac:dyDescent="0.2">
      <c r="A28" s="3">
        <v>25</v>
      </c>
      <c r="B28" s="45" t="s">
        <v>20</v>
      </c>
      <c r="C28" s="45"/>
      <c r="D28" s="45"/>
      <c r="E28" s="34" t="s">
        <v>46</v>
      </c>
      <c r="F28" s="35"/>
      <c r="G28" s="35"/>
      <c r="H28" s="36"/>
    </row>
    <row r="29" spans="1:8" x14ac:dyDescent="0.2">
      <c r="A29" s="3">
        <v>26</v>
      </c>
      <c r="B29" s="43" t="s">
        <v>32</v>
      </c>
      <c r="C29" s="43"/>
      <c r="D29" s="43"/>
      <c r="E29" s="31" t="s">
        <v>17</v>
      </c>
      <c r="F29" s="32"/>
      <c r="G29" s="32"/>
      <c r="H29" s="33"/>
    </row>
  </sheetData>
  <mergeCells count="42">
    <mergeCell ref="B28:D28"/>
    <mergeCell ref="B29:D29"/>
    <mergeCell ref="B26:D26"/>
    <mergeCell ref="B27:D27"/>
    <mergeCell ref="E29:H29"/>
    <mergeCell ref="B18:D18"/>
    <mergeCell ref="B19:D19"/>
    <mergeCell ref="B24:D24"/>
    <mergeCell ref="B25:D25"/>
    <mergeCell ref="B22:D22"/>
    <mergeCell ref="B23:D23"/>
    <mergeCell ref="E2:F2"/>
    <mergeCell ref="G2:H2"/>
    <mergeCell ref="A2:D2"/>
    <mergeCell ref="A1:H1"/>
    <mergeCell ref="B7:D7"/>
    <mergeCell ref="E26:H26"/>
    <mergeCell ref="E27:H27"/>
    <mergeCell ref="E28:H28"/>
    <mergeCell ref="B12:D12"/>
    <mergeCell ref="B6:D6"/>
    <mergeCell ref="B8:D8"/>
    <mergeCell ref="B9:D9"/>
    <mergeCell ref="B10:D10"/>
    <mergeCell ref="B11:D11"/>
    <mergeCell ref="B17:D17"/>
    <mergeCell ref="B13:D13"/>
    <mergeCell ref="B14:D14"/>
    <mergeCell ref="B15:D15"/>
    <mergeCell ref="B16:D16"/>
    <mergeCell ref="B20:D20"/>
    <mergeCell ref="B21:D21"/>
    <mergeCell ref="E21:H21"/>
    <mergeCell ref="E22:H22"/>
    <mergeCell ref="E23:H23"/>
    <mergeCell ref="E24:H24"/>
    <mergeCell ref="E25:H25"/>
    <mergeCell ref="E16:H16"/>
    <mergeCell ref="E17:H17"/>
    <mergeCell ref="E18:H18"/>
    <mergeCell ref="E19:H19"/>
    <mergeCell ref="E20:H20"/>
  </mergeCells>
  <conditionalFormatting sqref="E6">
    <cfRule type="expression" dxfId="22" priority="9">
      <formula>E6=#REF!</formula>
    </cfRule>
  </conditionalFormatting>
  <conditionalFormatting sqref="F4:F5">
    <cfRule type="expression" dxfId="21" priority="7">
      <formula>F4=#REF!</formula>
    </cfRule>
  </conditionalFormatting>
  <conditionalFormatting sqref="F4:F5">
    <cfRule type="expression" dxfId="20" priority="8">
      <formula>F4=#REF!</formula>
    </cfRule>
  </conditionalFormatting>
  <conditionalFormatting sqref="F6">
    <cfRule type="expression" dxfId="19" priority="6">
      <formula>F6=#REF!</formula>
    </cfRule>
  </conditionalFormatting>
  <conditionalFormatting sqref="G6">
    <cfRule type="expression" dxfId="18" priority="4">
      <formula>G6=#REF!</formula>
    </cfRule>
  </conditionalFormatting>
  <conditionalFormatting sqref="H4:H5">
    <cfRule type="expression" dxfId="17" priority="2">
      <formula>H4=#REF!</formula>
    </cfRule>
  </conditionalFormatting>
  <conditionalFormatting sqref="H4:H5">
    <cfRule type="expression" dxfId="16" priority="3">
      <formula>H4=#REF!</formula>
    </cfRule>
  </conditionalFormatting>
  <conditionalFormatting sqref="H6">
    <cfRule type="expression" dxfId="15" priority="1">
      <formula>H6=#REF!</formula>
    </cfRule>
  </conditionalFormatting>
  <printOptions horizontalCentered="1"/>
  <pageMargins left="0.15748031496062992" right="0.15748031496062992" top="0.23622047244094491" bottom="0.15748031496062992" header="0" footer="0"/>
  <pageSetup scale="8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zoomScaleNormal="100" zoomScaleSheetLayoutView="115" workbookViewId="0">
      <selection activeCell="K5" sqref="K5"/>
    </sheetView>
  </sheetViews>
  <sheetFormatPr defaultRowHeight="14.25" x14ac:dyDescent="0.2"/>
  <cols>
    <col min="1" max="1" width="3.85546875" style="1" bestFit="1" customWidth="1"/>
    <col min="2" max="2" width="12.42578125" style="1" bestFit="1" customWidth="1"/>
    <col min="3" max="3" width="44.85546875" style="10" bestFit="1" customWidth="1"/>
    <col min="4" max="4" width="7.140625" style="11" bestFit="1" customWidth="1"/>
    <col min="5" max="5" width="10.7109375" style="1" bestFit="1" customWidth="1"/>
    <col min="6" max="6" width="15.140625" style="1" bestFit="1" customWidth="1"/>
    <col min="7" max="7" width="10.7109375" style="1" bestFit="1" customWidth="1"/>
    <col min="8" max="8" width="15.140625" style="1" bestFit="1" customWidth="1"/>
    <col min="9" max="9" width="10.7109375" style="1" bestFit="1" customWidth="1"/>
    <col min="10" max="10" width="15.140625" style="1" bestFit="1" customWidth="1"/>
    <col min="11" max="11" width="10.7109375" style="1" bestFit="1" customWidth="1"/>
    <col min="12" max="12" width="15.140625" style="1" bestFit="1" customWidth="1"/>
    <col min="13" max="16384" width="9.140625" style="1"/>
  </cols>
  <sheetData>
    <row r="1" spans="1:12" ht="29.25" customHeight="1" x14ac:dyDescent="0.2">
      <c r="A1" s="41" t="s">
        <v>47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s="2" customFormat="1" ht="33.75" customHeight="1" x14ac:dyDescent="0.2">
      <c r="A2" s="18"/>
      <c r="B2" s="18"/>
      <c r="C2" s="18"/>
      <c r="D2" s="17"/>
      <c r="E2" s="50" t="s">
        <v>29</v>
      </c>
      <c r="F2" s="50"/>
      <c r="G2" s="50" t="s">
        <v>30</v>
      </c>
      <c r="H2" s="50"/>
      <c r="I2" s="50" t="s">
        <v>34</v>
      </c>
      <c r="J2" s="50"/>
      <c r="K2" s="50" t="s">
        <v>35</v>
      </c>
      <c r="L2" s="50"/>
    </row>
    <row r="3" spans="1:12" s="4" customFormat="1" ht="33" customHeight="1" x14ac:dyDescent="0.25">
      <c r="A3" s="3" t="s">
        <v>0</v>
      </c>
      <c r="B3" s="3" t="s">
        <v>22</v>
      </c>
      <c r="C3" s="17" t="s">
        <v>23</v>
      </c>
      <c r="D3" s="17" t="s">
        <v>33</v>
      </c>
      <c r="E3" s="17" t="s">
        <v>26</v>
      </c>
      <c r="F3" s="21" t="s">
        <v>27</v>
      </c>
      <c r="G3" s="17" t="s">
        <v>26</v>
      </c>
      <c r="H3" s="21" t="s">
        <v>27</v>
      </c>
      <c r="I3" s="17" t="s">
        <v>26</v>
      </c>
      <c r="J3" s="21" t="s">
        <v>27</v>
      </c>
      <c r="K3" s="17" t="s">
        <v>26</v>
      </c>
      <c r="L3" s="21" t="s">
        <v>27</v>
      </c>
    </row>
    <row r="4" spans="1:12" s="4" customFormat="1" ht="64.5" customHeight="1" x14ac:dyDescent="0.25">
      <c r="A4" s="3">
        <v>1</v>
      </c>
      <c r="B4" s="19">
        <v>1800003110</v>
      </c>
      <c r="C4" s="20" t="s">
        <v>36</v>
      </c>
      <c r="D4" s="16">
        <v>60</v>
      </c>
      <c r="E4" s="5">
        <v>36500</v>
      </c>
      <c r="F4" s="6">
        <f t="shared" ref="F4" si="0">E4*$D4</f>
        <v>2190000</v>
      </c>
      <c r="G4" s="5">
        <v>77500</v>
      </c>
      <c r="H4" s="6">
        <f>G4*$D4</f>
        <v>4650000</v>
      </c>
      <c r="I4" s="5">
        <v>36105</v>
      </c>
      <c r="J4" s="6">
        <f t="shared" ref="J4:J5" si="1">I4*$D4</f>
        <v>2166300</v>
      </c>
      <c r="K4" s="5">
        <v>37500</v>
      </c>
      <c r="L4" s="6">
        <f t="shared" ref="L4:L5" si="2">K4*$D4</f>
        <v>2250000</v>
      </c>
    </row>
    <row r="5" spans="1:12" s="4" customFormat="1" ht="125.25" customHeight="1" x14ac:dyDescent="0.25">
      <c r="A5" s="3">
        <v>2</v>
      </c>
      <c r="B5" s="19">
        <v>1800003132</v>
      </c>
      <c r="C5" s="20" t="s">
        <v>37</v>
      </c>
      <c r="D5" s="16">
        <v>60</v>
      </c>
      <c r="E5" s="5">
        <v>65425</v>
      </c>
      <c r="F5" s="6">
        <f t="shared" ref="F5" si="3">E5*$D5</f>
        <v>3925500</v>
      </c>
      <c r="G5" s="5">
        <v>36700</v>
      </c>
      <c r="H5" s="6">
        <f t="shared" ref="H5" si="4">G5*$D5</f>
        <v>2202000</v>
      </c>
      <c r="I5" s="5">
        <v>71200</v>
      </c>
      <c r="J5" s="6">
        <f t="shared" si="1"/>
        <v>4272000</v>
      </c>
      <c r="K5" s="5">
        <v>74000</v>
      </c>
      <c r="L5" s="6">
        <f t="shared" si="2"/>
        <v>4440000</v>
      </c>
    </row>
    <row r="6" spans="1:12" s="9" customFormat="1" x14ac:dyDescent="0.25">
      <c r="A6" s="3">
        <v>3</v>
      </c>
      <c r="B6" s="38" t="s">
        <v>1</v>
      </c>
      <c r="C6" s="38"/>
      <c r="D6" s="38"/>
      <c r="E6" s="12"/>
      <c r="F6" s="22">
        <f>SUM(F4:F5)</f>
        <v>6115500</v>
      </c>
      <c r="G6" s="12"/>
      <c r="H6" s="12">
        <f>SUM(H4:H5)</f>
        <v>6852000</v>
      </c>
      <c r="I6" s="12"/>
      <c r="J6" s="12">
        <f>SUM(J4:J5)</f>
        <v>6438300</v>
      </c>
      <c r="K6" s="12"/>
      <c r="L6" s="12">
        <f>SUM(L4:L5)</f>
        <v>6690000</v>
      </c>
    </row>
    <row r="7" spans="1:12" s="15" customFormat="1" x14ac:dyDescent="0.25">
      <c r="A7" s="3">
        <v>4</v>
      </c>
      <c r="B7" s="37" t="s">
        <v>5</v>
      </c>
      <c r="C7" s="37"/>
      <c r="D7" s="37"/>
      <c r="E7" s="13">
        <v>0</v>
      </c>
      <c r="F7" s="14">
        <f>F6*E7</f>
        <v>0</v>
      </c>
      <c r="G7" s="13">
        <v>0</v>
      </c>
      <c r="H7" s="14">
        <f>H6*G7</f>
        <v>0</v>
      </c>
      <c r="I7" s="13">
        <v>0</v>
      </c>
      <c r="J7" s="14">
        <f>J6*I7</f>
        <v>0</v>
      </c>
      <c r="K7" s="13">
        <v>0</v>
      </c>
      <c r="L7" s="14">
        <f>L6*K7</f>
        <v>0</v>
      </c>
    </row>
    <row r="8" spans="1:12" s="9" customFormat="1" x14ac:dyDescent="0.25">
      <c r="A8" s="3">
        <v>5</v>
      </c>
      <c r="B8" s="42" t="s">
        <v>2</v>
      </c>
      <c r="C8" s="42"/>
      <c r="D8" s="42"/>
      <c r="E8" s="3"/>
      <c r="F8" s="12">
        <f>F6+F7</f>
        <v>6115500</v>
      </c>
      <c r="G8" s="3"/>
      <c r="H8" s="12">
        <f>H6+H7</f>
        <v>6852000</v>
      </c>
      <c r="I8" s="3"/>
      <c r="J8" s="12">
        <f>J6+J7</f>
        <v>6438300</v>
      </c>
      <c r="K8" s="3"/>
      <c r="L8" s="12">
        <f>L6+L7</f>
        <v>6690000</v>
      </c>
    </row>
    <row r="9" spans="1:12" s="15" customFormat="1" x14ac:dyDescent="0.25">
      <c r="A9" s="3">
        <v>6</v>
      </c>
      <c r="B9" s="37" t="s">
        <v>6</v>
      </c>
      <c r="C9" s="37"/>
      <c r="D9" s="37"/>
      <c r="E9" s="13">
        <v>0</v>
      </c>
      <c r="F9" s="14">
        <f>F8*E9</f>
        <v>0</v>
      </c>
      <c r="G9" s="13">
        <v>0</v>
      </c>
      <c r="H9" s="14">
        <f>H8*G9</f>
        <v>0</v>
      </c>
      <c r="I9" s="13">
        <v>0</v>
      </c>
      <c r="J9" s="14">
        <f>J8*I9</f>
        <v>0</v>
      </c>
      <c r="K9" s="13">
        <v>0</v>
      </c>
      <c r="L9" s="14">
        <f>L8*K9</f>
        <v>0</v>
      </c>
    </row>
    <row r="10" spans="1:12" s="15" customFormat="1" x14ac:dyDescent="0.25">
      <c r="A10" s="3">
        <v>7</v>
      </c>
      <c r="B10" s="37" t="s">
        <v>7</v>
      </c>
      <c r="C10" s="37"/>
      <c r="D10" s="37"/>
      <c r="E10" s="13">
        <v>0</v>
      </c>
      <c r="F10" s="14">
        <f>F8*E10</f>
        <v>0</v>
      </c>
      <c r="G10" s="13">
        <v>0</v>
      </c>
      <c r="H10" s="14">
        <f>H8*G10</f>
        <v>0</v>
      </c>
      <c r="I10" s="13">
        <v>0</v>
      </c>
      <c r="J10" s="14">
        <f>J8*I10</f>
        <v>0</v>
      </c>
      <c r="K10" s="13">
        <v>0</v>
      </c>
      <c r="L10" s="14">
        <f>L8*K10</f>
        <v>0</v>
      </c>
    </row>
    <row r="11" spans="1:12" s="9" customFormat="1" x14ac:dyDescent="0.25">
      <c r="A11" s="3">
        <v>8</v>
      </c>
      <c r="B11" s="42" t="s">
        <v>4</v>
      </c>
      <c r="C11" s="42"/>
      <c r="D11" s="42"/>
      <c r="E11" s="3"/>
      <c r="F11" s="12">
        <f>F8+F9+F10</f>
        <v>6115500</v>
      </c>
      <c r="G11" s="3"/>
      <c r="H11" s="12">
        <f>H8+H9+H10</f>
        <v>6852000</v>
      </c>
      <c r="I11" s="3"/>
      <c r="J11" s="12">
        <f>J8+J9+J10</f>
        <v>6438300</v>
      </c>
      <c r="K11" s="3"/>
      <c r="L11" s="12">
        <f>L8+L9+L10</f>
        <v>6690000</v>
      </c>
    </row>
    <row r="12" spans="1:12" s="9" customFormat="1" x14ac:dyDescent="0.25">
      <c r="A12" s="3">
        <v>9</v>
      </c>
      <c r="B12" s="37" t="s">
        <v>12</v>
      </c>
      <c r="C12" s="37"/>
      <c r="D12" s="37"/>
      <c r="E12" s="13">
        <v>0.09</v>
      </c>
      <c r="F12" s="14">
        <f>F11*E12</f>
        <v>550395</v>
      </c>
      <c r="G12" s="13">
        <v>0.09</v>
      </c>
      <c r="H12" s="14">
        <f>H11*G12</f>
        <v>616680</v>
      </c>
      <c r="I12" s="13">
        <v>0.09</v>
      </c>
      <c r="J12" s="14">
        <f>J11*I12</f>
        <v>579447</v>
      </c>
      <c r="K12" s="13">
        <v>0.09</v>
      </c>
      <c r="L12" s="14">
        <f>L11*K12</f>
        <v>602100</v>
      </c>
    </row>
    <row r="13" spans="1:12" s="9" customFormat="1" x14ac:dyDescent="0.25">
      <c r="A13" s="3">
        <v>10</v>
      </c>
      <c r="B13" s="37" t="s">
        <v>13</v>
      </c>
      <c r="C13" s="37"/>
      <c r="D13" s="37"/>
      <c r="E13" s="13">
        <v>0.09</v>
      </c>
      <c r="F13" s="14">
        <f>F11*E13</f>
        <v>550395</v>
      </c>
      <c r="G13" s="13">
        <v>0.09</v>
      </c>
      <c r="H13" s="14">
        <f>H11*G13</f>
        <v>616680</v>
      </c>
      <c r="I13" s="13">
        <v>0.09</v>
      </c>
      <c r="J13" s="14">
        <f>J11*I13</f>
        <v>579447</v>
      </c>
      <c r="K13" s="13">
        <v>0.09</v>
      </c>
      <c r="L13" s="14">
        <f>L11*K13</f>
        <v>602100</v>
      </c>
    </row>
    <row r="14" spans="1:12" s="9" customFormat="1" x14ac:dyDescent="0.25">
      <c r="A14" s="3">
        <v>11</v>
      </c>
      <c r="B14" s="37" t="s">
        <v>21</v>
      </c>
      <c r="C14" s="37"/>
      <c r="D14" s="37"/>
      <c r="E14" s="13">
        <v>0</v>
      </c>
      <c r="F14" s="14">
        <f>F11*E14</f>
        <v>0</v>
      </c>
      <c r="G14" s="13">
        <v>0</v>
      </c>
      <c r="H14" s="14">
        <f>H11*G14</f>
        <v>0</v>
      </c>
      <c r="I14" s="13">
        <v>0</v>
      </c>
      <c r="J14" s="14">
        <f>J11*I14</f>
        <v>0</v>
      </c>
      <c r="K14" s="13">
        <v>0</v>
      </c>
      <c r="L14" s="14">
        <f>L11*K14</f>
        <v>0</v>
      </c>
    </row>
    <row r="15" spans="1:12" s="9" customFormat="1" x14ac:dyDescent="0.25">
      <c r="A15" s="3">
        <v>12</v>
      </c>
      <c r="B15" s="42" t="s">
        <v>8</v>
      </c>
      <c r="C15" s="42"/>
      <c r="D15" s="42"/>
      <c r="E15" s="7"/>
      <c r="F15" s="23">
        <f>F11+F12+F13+F14</f>
        <v>7216290</v>
      </c>
      <c r="G15" s="7"/>
      <c r="H15" s="8">
        <f>H11+H12+H13+H14</f>
        <v>8085360</v>
      </c>
      <c r="I15" s="7"/>
      <c r="J15" s="8">
        <f>J11+J12+J13+J14</f>
        <v>7597194</v>
      </c>
      <c r="K15" s="7"/>
      <c r="L15" s="8">
        <f>L11+L12+L13+L14</f>
        <v>7894200</v>
      </c>
    </row>
    <row r="16" spans="1:12" ht="20.25" customHeight="1" x14ac:dyDescent="0.2">
      <c r="A16" s="3">
        <v>13</v>
      </c>
      <c r="B16" s="44" t="s">
        <v>15</v>
      </c>
      <c r="C16" s="44"/>
      <c r="D16" s="44"/>
      <c r="E16" s="49" t="s">
        <v>40</v>
      </c>
      <c r="F16" s="49"/>
      <c r="G16" s="49" t="s">
        <v>42</v>
      </c>
      <c r="H16" s="49"/>
      <c r="I16" s="49" t="s">
        <v>43</v>
      </c>
      <c r="J16" s="49"/>
      <c r="K16" s="49" t="s">
        <v>45</v>
      </c>
      <c r="L16" s="49"/>
    </row>
    <row r="17" spans="1:12" ht="14.25" customHeight="1" x14ac:dyDescent="0.2">
      <c r="A17" s="3">
        <v>14</v>
      </c>
      <c r="B17" s="43" t="s">
        <v>24</v>
      </c>
      <c r="C17" s="43"/>
      <c r="D17" s="43"/>
      <c r="E17" s="47" t="s">
        <v>3</v>
      </c>
      <c r="F17" s="47"/>
      <c r="G17" s="47" t="s">
        <v>3</v>
      </c>
      <c r="H17" s="47"/>
      <c r="I17" s="47" t="s">
        <v>3</v>
      </c>
      <c r="J17" s="47"/>
      <c r="K17" s="47" t="s">
        <v>3</v>
      </c>
      <c r="L17" s="47"/>
    </row>
    <row r="18" spans="1:12" ht="14.25" customHeight="1" x14ac:dyDescent="0.2">
      <c r="A18" s="3">
        <v>15</v>
      </c>
      <c r="B18" s="43" t="s">
        <v>16</v>
      </c>
      <c r="C18" s="43"/>
      <c r="D18" s="43"/>
      <c r="E18" s="47" t="s">
        <v>14</v>
      </c>
      <c r="F18" s="47"/>
      <c r="G18" s="47" t="s">
        <v>14</v>
      </c>
      <c r="H18" s="47"/>
      <c r="I18" s="47" t="s">
        <v>14</v>
      </c>
      <c r="J18" s="47"/>
      <c r="K18" s="47" t="s">
        <v>14</v>
      </c>
      <c r="L18" s="47"/>
    </row>
    <row r="19" spans="1:12" ht="35.25" customHeight="1" x14ac:dyDescent="0.2">
      <c r="A19" s="3">
        <v>16</v>
      </c>
      <c r="B19" s="43" t="s">
        <v>9</v>
      </c>
      <c r="C19" s="43"/>
      <c r="D19" s="43"/>
      <c r="E19" s="47" t="s">
        <v>28</v>
      </c>
      <c r="F19" s="47"/>
      <c r="G19" s="47" t="s">
        <v>28</v>
      </c>
      <c r="H19" s="47"/>
      <c r="I19" s="47" t="s">
        <v>28</v>
      </c>
      <c r="J19" s="47"/>
      <c r="K19" s="47" t="s">
        <v>28</v>
      </c>
      <c r="L19" s="47"/>
    </row>
    <row r="20" spans="1:12" ht="14.25" customHeight="1" x14ac:dyDescent="0.2">
      <c r="A20" s="3">
        <v>17</v>
      </c>
      <c r="B20" s="43" t="s">
        <v>10</v>
      </c>
      <c r="C20" s="43"/>
      <c r="D20" s="43"/>
      <c r="E20" s="47" t="s">
        <v>14</v>
      </c>
      <c r="F20" s="47"/>
      <c r="G20" s="47" t="s">
        <v>14</v>
      </c>
      <c r="H20" s="47"/>
      <c r="I20" s="47" t="s">
        <v>14</v>
      </c>
      <c r="J20" s="47"/>
      <c r="K20" s="47" t="s">
        <v>14</v>
      </c>
      <c r="L20" s="47"/>
    </row>
    <row r="21" spans="1:12" x14ac:dyDescent="0.2">
      <c r="A21" s="3">
        <v>18</v>
      </c>
      <c r="B21" s="43" t="s">
        <v>11</v>
      </c>
      <c r="C21" s="43"/>
      <c r="D21" s="43"/>
      <c r="E21" s="47" t="s">
        <v>14</v>
      </c>
      <c r="F21" s="47"/>
      <c r="G21" s="47" t="s">
        <v>14</v>
      </c>
      <c r="H21" s="47"/>
      <c r="I21" s="47" t="s">
        <v>14</v>
      </c>
      <c r="J21" s="47"/>
      <c r="K21" s="47" t="s">
        <v>14</v>
      </c>
      <c r="L21" s="47"/>
    </row>
    <row r="22" spans="1:12" ht="47.25" customHeight="1" x14ac:dyDescent="0.2">
      <c r="A22" s="3">
        <v>19</v>
      </c>
      <c r="B22" s="43" t="s">
        <v>38</v>
      </c>
      <c r="C22" s="43"/>
      <c r="D22" s="43"/>
      <c r="E22" s="47" t="s">
        <v>17</v>
      </c>
      <c r="F22" s="47"/>
      <c r="G22" s="47" t="s">
        <v>17</v>
      </c>
      <c r="H22" s="47"/>
      <c r="I22" s="47" t="s">
        <v>17</v>
      </c>
      <c r="J22" s="47"/>
      <c r="K22" s="47" t="s">
        <v>17</v>
      </c>
      <c r="L22" s="47"/>
    </row>
    <row r="23" spans="1:12" ht="45" customHeight="1" x14ac:dyDescent="0.2">
      <c r="A23" s="3">
        <v>20</v>
      </c>
      <c r="B23" s="43" t="s">
        <v>39</v>
      </c>
      <c r="C23" s="43"/>
      <c r="D23" s="43"/>
      <c r="E23" s="47" t="s">
        <v>17</v>
      </c>
      <c r="F23" s="47"/>
      <c r="G23" s="47" t="s">
        <v>17</v>
      </c>
      <c r="H23" s="47"/>
      <c r="I23" s="47" t="s">
        <v>17</v>
      </c>
      <c r="J23" s="47"/>
      <c r="K23" s="47" t="s">
        <v>17</v>
      </c>
      <c r="L23" s="47"/>
    </row>
    <row r="24" spans="1:12" x14ac:dyDescent="0.2">
      <c r="A24" s="3">
        <v>21</v>
      </c>
      <c r="B24" s="43" t="s">
        <v>31</v>
      </c>
      <c r="C24" s="43"/>
      <c r="D24" s="43"/>
      <c r="E24" s="47" t="s">
        <v>17</v>
      </c>
      <c r="F24" s="47"/>
      <c r="G24" s="47" t="s">
        <v>17</v>
      </c>
      <c r="H24" s="47"/>
      <c r="I24" s="47" t="s">
        <v>17</v>
      </c>
      <c r="J24" s="47"/>
      <c r="K24" s="47" t="s">
        <v>17</v>
      </c>
      <c r="L24" s="47"/>
    </row>
    <row r="25" spans="1:12" ht="14.25" customHeight="1" x14ac:dyDescent="0.2">
      <c r="A25" s="3">
        <v>22</v>
      </c>
      <c r="B25" s="43" t="s">
        <v>25</v>
      </c>
      <c r="C25" s="43"/>
      <c r="D25" s="43"/>
      <c r="E25" s="46" t="s">
        <v>41</v>
      </c>
      <c r="F25" s="46"/>
      <c r="G25" s="46" t="s">
        <v>41</v>
      </c>
      <c r="H25" s="46"/>
      <c r="I25" s="46" t="s">
        <v>41</v>
      </c>
      <c r="J25" s="46"/>
      <c r="K25" s="46" t="s">
        <v>41</v>
      </c>
      <c r="L25" s="46"/>
    </row>
    <row r="26" spans="1:12" x14ac:dyDescent="0.2">
      <c r="A26" s="3">
        <v>23</v>
      </c>
      <c r="B26" s="43" t="s">
        <v>18</v>
      </c>
      <c r="C26" s="43"/>
      <c r="D26" s="43"/>
      <c r="E26" s="46" t="s">
        <v>17</v>
      </c>
      <c r="F26" s="46"/>
      <c r="G26" s="46" t="s">
        <v>17</v>
      </c>
      <c r="H26" s="46"/>
      <c r="I26" s="46" t="s">
        <v>17</v>
      </c>
      <c r="J26" s="46"/>
      <c r="K26" s="46" t="s">
        <v>17</v>
      </c>
      <c r="L26" s="46"/>
    </row>
    <row r="27" spans="1:12" x14ac:dyDescent="0.2">
      <c r="A27" s="3">
        <v>24</v>
      </c>
      <c r="B27" s="43" t="s">
        <v>19</v>
      </c>
      <c r="C27" s="43"/>
      <c r="D27" s="43"/>
      <c r="E27" s="47" t="s">
        <v>17</v>
      </c>
      <c r="F27" s="47"/>
      <c r="G27" s="47" t="s">
        <v>17</v>
      </c>
      <c r="H27" s="47"/>
      <c r="I27" s="47" t="s">
        <v>17</v>
      </c>
      <c r="J27" s="47"/>
      <c r="K27" s="47" t="s">
        <v>17</v>
      </c>
      <c r="L27" s="47"/>
    </row>
    <row r="28" spans="1:12" ht="14.25" customHeight="1" x14ac:dyDescent="0.2">
      <c r="A28" s="3">
        <v>25</v>
      </c>
      <c r="B28" s="45" t="s">
        <v>20</v>
      </c>
      <c r="C28" s="45"/>
      <c r="D28" s="45"/>
      <c r="E28" s="48"/>
      <c r="F28" s="48"/>
      <c r="G28" s="48">
        <v>84714900</v>
      </c>
      <c r="H28" s="48"/>
      <c r="I28" s="48" t="s">
        <v>44</v>
      </c>
      <c r="J28" s="48"/>
      <c r="K28" s="48" t="s">
        <v>46</v>
      </c>
      <c r="L28" s="48"/>
    </row>
    <row r="29" spans="1:12" x14ac:dyDescent="0.2">
      <c r="A29" s="3">
        <v>26</v>
      </c>
      <c r="B29" s="43" t="s">
        <v>32</v>
      </c>
      <c r="C29" s="43"/>
      <c r="D29" s="43"/>
      <c r="E29" s="46"/>
      <c r="F29" s="46"/>
      <c r="G29" s="46" t="s">
        <v>17</v>
      </c>
      <c r="H29" s="46"/>
      <c r="I29" s="46" t="s">
        <v>17</v>
      </c>
      <c r="J29" s="46"/>
      <c r="K29" s="46" t="s">
        <v>17</v>
      </c>
      <c r="L29" s="46"/>
    </row>
  </sheetData>
  <mergeCells count="85">
    <mergeCell ref="G17:H17"/>
    <mergeCell ref="E16:F16"/>
    <mergeCell ref="E17:F17"/>
    <mergeCell ref="I19:J19"/>
    <mergeCell ref="E23:F23"/>
    <mergeCell ref="G21:H21"/>
    <mergeCell ref="G22:H22"/>
    <mergeCell ref="I17:J17"/>
    <mergeCell ref="E20:F20"/>
    <mergeCell ref="G18:H18"/>
    <mergeCell ref="G19:H19"/>
    <mergeCell ref="G20:H20"/>
    <mergeCell ref="G23:H23"/>
    <mergeCell ref="E2:F2"/>
    <mergeCell ref="G2:H2"/>
    <mergeCell ref="I2:J2"/>
    <mergeCell ref="K2:L2"/>
    <mergeCell ref="G16:H16"/>
    <mergeCell ref="I16:J16"/>
    <mergeCell ref="A1:L1"/>
    <mergeCell ref="K24:L24"/>
    <mergeCell ref="K25:L25"/>
    <mergeCell ref="K26:L26"/>
    <mergeCell ref="K29:L29"/>
    <mergeCell ref="K20:L20"/>
    <mergeCell ref="K21:L21"/>
    <mergeCell ref="K22:L22"/>
    <mergeCell ref="K23:L23"/>
    <mergeCell ref="K16:L16"/>
    <mergeCell ref="K17:L17"/>
    <mergeCell ref="K18:L18"/>
    <mergeCell ref="K19:L19"/>
    <mergeCell ref="I26:J26"/>
    <mergeCell ref="K27:L27"/>
    <mergeCell ref="K28:L28"/>
    <mergeCell ref="B28:D28"/>
    <mergeCell ref="G24:H24"/>
    <mergeCell ref="B26:D26"/>
    <mergeCell ref="B24:D24"/>
    <mergeCell ref="G26:H26"/>
    <mergeCell ref="E27:F27"/>
    <mergeCell ref="E28:F28"/>
    <mergeCell ref="E26:F26"/>
    <mergeCell ref="G27:H27"/>
    <mergeCell ref="G28:H28"/>
    <mergeCell ref="B25:D25"/>
    <mergeCell ref="E25:F25"/>
    <mergeCell ref="E24:F24"/>
    <mergeCell ref="B11:D11"/>
    <mergeCell ref="B12:D12"/>
    <mergeCell ref="B13:D13"/>
    <mergeCell ref="B14:D14"/>
    <mergeCell ref="B27:D27"/>
    <mergeCell ref="I28:J28"/>
    <mergeCell ref="B20:D20"/>
    <mergeCell ref="B21:D21"/>
    <mergeCell ref="B22:D22"/>
    <mergeCell ref="B6:D6"/>
    <mergeCell ref="B9:D9"/>
    <mergeCell ref="B10:D10"/>
    <mergeCell ref="B18:D18"/>
    <mergeCell ref="B16:D16"/>
    <mergeCell ref="B17:D17"/>
    <mergeCell ref="E18:F18"/>
    <mergeCell ref="E19:F19"/>
    <mergeCell ref="B19:D19"/>
    <mergeCell ref="B7:D7"/>
    <mergeCell ref="B8:D8"/>
    <mergeCell ref="B15:D15"/>
    <mergeCell ref="B23:D23"/>
    <mergeCell ref="I25:J25"/>
    <mergeCell ref="I18:J18"/>
    <mergeCell ref="B29:D29"/>
    <mergeCell ref="E29:F29"/>
    <mergeCell ref="G29:H29"/>
    <mergeCell ref="I29:J29"/>
    <mergeCell ref="I20:J20"/>
    <mergeCell ref="I21:J21"/>
    <mergeCell ref="I22:J22"/>
    <mergeCell ref="I23:J23"/>
    <mergeCell ref="I24:J24"/>
    <mergeCell ref="E21:F21"/>
    <mergeCell ref="E22:F22"/>
    <mergeCell ref="G25:H25"/>
    <mergeCell ref="I27:J27"/>
  </mergeCells>
  <conditionalFormatting sqref="E6 H5">
    <cfRule type="expression" dxfId="14" priority="50">
      <formula>E5=#REF!</formula>
    </cfRule>
  </conditionalFormatting>
  <conditionalFormatting sqref="F4:F5">
    <cfRule type="expression" dxfId="13" priority="41">
      <formula>F4=#REF!</formula>
    </cfRule>
  </conditionalFormatting>
  <conditionalFormatting sqref="F4:F5">
    <cfRule type="expression" dxfId="12" priority="43">
      <formula>F4=#REF!</formula>
    </cfRule>
  </conditionalFormatting>
  <conditionalFormatting sqref="F6">
    <cfRule type="expression" dxfId="11" priority="27">
      <formula>F6=#REF!</formula>
    </cfRule>
  </conditionalFormatting>
  <conditionalFormatting sqref="G6">
    <cfRule type="expression" dxfId="10" priority="24">
      <formula>G6=#REF!</formula>
    </cfRule>
  </conditionalFormatting>
  <conditionalFormatting sqref="H6">
    <cfRule type="expression" dxfId="9" priority="14">
      <formula>H6=#REF!</formula>
    </cfRule>
  </conditionalFormatting>
  <conditionalFormatting sqref="I6">
    <cfRule type="expression" dxfId="8" priority="10">
      <formula>I6=#REF!</formula>
    </cfRule>
  </conditionalFormatting>
  <conditionalFormatting sqref="J4:J5">
    <cfRule type="expression" dxfId="7" priority="8">
      <formula>J4=#REF!</formula>
    </cfRule>
  </conditionalFormatting>
  <conditionalFormatting sqref="J4:J5">
    <cfRule type="expression" dxfId="6" priority="9">
      <formula>J4=#REF!</formula>
    </cfRule>
  </conditionalFormatting>
  <conditionalFormatting sqref="J6">
    <cfRule type="expression" dxfId="5" priority="7">
      <formula>J6=#REF!</formula>
    </cfRule>
  </conditionalFormatting>
  <conditionalFormatting sqref="K6">
    <cfRule type="expression" dxfId="4" priority="6">
      <formula>K6=#REF!</formula>
    </cfRule>
  </conditionalFormatting>
  <conditionalFormatting sqref="L4:L5">
    <cfRule type="expression" dxfId="3" priority="4">
      <formula>L4=#REF!</formula>
    </cfRule>
  </conditionalFormatting>
  <conditionalFormatting sqref="L4:L5">
    <cfRule type="expression" dxfId="2" priority="5">
      <formula>L4=#REF!</formula>
    </cfRule>
  </conditionalFormatting>
  <conditionalFormatting sqref="L6">
    <cfRule type="expression" dxfId="1" priority="3">
      <formula>L6=#REF!</formula>
    </cfRule>
  </conditionalFormatting>
  <conditionalFormatting sqref="H4">
    <cfRule type="expression" dxfId="0" priority="1">
      <formula>H4=#REF!</formula>
    </cfRule>
  </conditionalFormatting>
  <printOptions horizontalCentered="1"/>
  <pageMargins left="0.15748031496062992" right="0.15748031496062992" top="0.23622047244094491" bottom="0.15748031496062992" header="0" footer="0"/>
  <pageSetup scale="80" fitToWidth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WS</vt:lpstr>
      <vt:lpstr>HAEP</vt:lpstr>
      <vt:lpstr>HAEP!Print_Area</vt:lpstr>
      <vt:lpstr>WS!Print_Area</vt:lpstr>
      <vt:lpstr>HAEP!Print_Titles</vt:lpstr>
      <vt:lpstr>WS!Print_Titles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kribhco</dc:creator>
  <cp:lastModifiedBy>Rohit Gupta, 23736</cp:lastModifiedBy>
  <cp:lastPrinted>2025-03-21T08:57:40Z</cp:lastPrinted>
  <dcterms:created xsi:type="dcterms:W3CDTF">2015-01-15T05:34:14Z</dcterms:created>
  <dcterms:modified xsi:type="dcterms:W3CDTF">2025-03-21T08:57:43Z</dcterms:modified>
</cp:coreProperties>
</file>