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Procurement\Enquiry_mpr\Enq\Procurement_of_PC - 2018\Procurement of PC 50 Nos - New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Print_Area" localSheetId="0">Sheet1!$A$1:$I$7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/>
  <c r="K4" i="1"/>
  <c r="K3" i="1"/>
  <c r="F4" i="1" l="1"/>
  <c r="F3" i="1"/>
  <c r="H4" i="1"/>
  <c r="I5" i="1" s="1"/>
  <c r="I9" i="1" s="1"/>
  <c r="H3" i="1"/>
</calcChain>
</file>

<file path=xl/sharedStrings.xml><?xml version="1.0" encoding="utf-8"?>
<sst xmlns="http://schemas.openxmlformats.org/spreadsheetml/2006/main" count="20" uniqueCount="18">
  <si>
    <t>Sr.No.</t>
  </si>
  <si>
    <t>Ishan infotech</t>
  </si>
  <si>
    <t>Make</t>
  </si>
  <si>
    <t>Acer</t>
  </si>
  <si>
    <t>Jupiter</t>
  </si>
  <si>
    <t>Lenova</t>
  </si>
  <si>
    <t>HP</t>
  </si>
  <si>
    <t>Creative</t>
  </si>
  <si>
    <t>PC Price</t>
  </si>
  <si>
    <t>MS Office</t>
  </si>
  <si>
    <t>Estimate Price</t>
  </si>
  <si>
    <t>WBS SCP-1819-HAZ-012-01</t>
  </si>
  <si>
    <t>Budget Balance on Date</t>
  </si>
  <si>
    <t>Price + GST 18%</t>
  </si>
  <si>
    <t>Average Price</t>
  </si>
  <si>
    <t>Cost for 45 Nos</t>
  </si>
  <si>
    <t>Last PR L1 Value</t>
  </si>
  <si>
    <t>HO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</si>
</sst>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14.140625" style="9" customWidth="1"/>
    <col min="2" max="3" width="13.85546875" style="9" customWidth="1"/>
    <col min="4" max="4" width="11.42578125" style="9" customWidth="1"/>
    <col min="5" max="5" width="13" style="9" customWidth="1"/>
    <col min="6" max="6" width="9" style="9" customWidth="1"/>
    <col min="7" max="7" width="8.85546875" style="4" customWidth="1"/>
    <col min="8" max="8" width="8.28515625" style="10" customWidth="1"/>
    <col min="9" max="9" width="9" style="4" customWidth="1"/>
    <col min="10" max="16384" width="9.140625" style="4"/>
  </cols>
  <sheetData>
    <row r="1" spans="1:13" ht="45" x14ac:dyDescent="0.25">
      <c r="A1" s="11" t="s">
        <v>0</v>
      </c>
      <c r="B1" s="1" t="s">
        <v>1</v>
      </c>
      <c r="C1" s="1" t="s">
        <v>4</v>
      </c>
      <c r="D1" s="1" t="s">
        <v>4</v>
      </c>
      <c r="E1" s="1" t="s">
        <v>7</v>
      </c>
      <c r="F1" s="2" t="s">
        <v>14</v>
      </c>
      <c r="G1" s="2" t="s">
        <v>10</v>
      </c>
      <c r="H1" s="3" t="s">
        <v>13</v>
      </c>
      <c r="I1" s="12" t="s">
        <v>15</v>
      </c>
      <c r="K1" s="2" t="s">
        <v>16</v>
      </c>
      <c r="M1" s="4" t="s">
        <v>17</v>
      </c>
    </row>
    <row r="2" spans="1:13" ht="18" customHeight="1" x14ac:dyDescent="0.25">
      <c r="A2" s="8" t="s">
        <v>2</v>
      </c>
      <c r="B2" s="5" t="s">
        <v>3</v>
      </c>
      <c r="C2" s="5" t="s">
        <v>5</v>
      </c>
      <c r="D2" s="5" t="s">
        <v>6</v>
      </c>
      <c r="E2" s="5" t="s">
        <v>6</v>
      </c>
      <c r="F2" s="5"/>
      <c r="G2" s="5"/>
      <c r="H2" s="7"/>
      <c r="I2" s="7"/>
    </row>
    <row r="3" spans="1:13" ht="18" customHeight="1" x14ac:dyDescent="0.25">
      <c r="A3" s="8" t="s">
        <v>8</v>
      </c>
      <c r="B3" s="5">
        <v>44500</v>
      </c>
      <c r="C3" s="5">
        <v>43000</v>
      </c>
      <c r="D3" s="5">
        <v>48500</v>
      </c>
      <c r="E3" s="5">
        <v>57500</v>
      </c>
      <c r="F3" s="5">
        <f>AVERAGE(B3:E3)</f>
        <v>48375</v>
      </c>
      <c r="G3" s="6">
        <v>48000</v>
      </c>
      <c r="H3" s="13">
        <f>ROUND(G3*1.18,0)</f>
        <v>56640</v>
      </c>
      <c r="I3" s="13">
        <f>H3*45</f>
        <v>2548800</v>
      </c>
      <c r="K3" s="4">
        <f>48300*1.18</f>
        <v>56994</v>
      </c>
      <c r="M3" s="4">
        <v>45605</v>
      </c>
    </row>
    <row r="4" spans="1:13" ht="18" customHeight="1" x14ac:dyDescent="0.25">
      <c r="A4" s="8" t="s">
        <v>9</v>
      </c>
      <c r="B4" s="5">
        <v>23500</v>
      </c>
      <c r="C4" s="5">
        <v>23000</v>
      </c>
      <c r="D4" s="5">
        <v>23000</v>
      </c>
      <c r="E4" s="5">
        <v>23500</v>
      </c>
      <c r="F4" s="5">
        <f>AVERAGE(B4:E4)</f>
        <v>23250</v>
      </c>
      <c r="G4" s="6">
        <v>23000</v>
      </c>
      <c r="H4" s="13">
        <f>ROUND(G4*1.18,0)</f>
        <v>27140</v>
      </c>
      <c r="I4" s="13">
        <f>H4*45</f>
        <v>1221300</v>
      </c>
      <c r="K4" s="4">
        <f>22100*1.18</f>
        <v>26078</v>
      </c>
    </row>
    <row r="5" spans="1:13" ht="18" customHeight="1" x14ac:dyDescent="0.25">
      <c r="I5" s="14">
        <f>I3+I4</f>
        <v>3770100</v>
      </c>
    </row>
    <row r="6" spans="1:13" ht="18" customHeight="1" x14ac:dyDescent="0.25"/>
    <row r="7" spans="1:13" ht="18" customHeight="1" x14ac:dyDescent="0.25">
      <c r="A7" s="15" t="s">
        <v>12</v>
      </c>
      <c r="C7" s="10" t="s">
        <v>11</v>
      </c>
      <c r="I7" s="4">
        <v>4465400</v>
      </c>
    </row>
    <row r="8" spans="1:13" ht="18" customHeight="1" x14ac:dyDescent="0.25"/>
    <row r="9" spans="1:13" ht="18" customHeight="1" x14ac:dyDescent="0.25">
      <c r="I9" s="4">
        <f>I7-I5</f>
        <v>695300</v>
      </c>
    </row>
  </sheetData>
  <pageMargins left="1" right="1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Arunachalam</dc:creator>
  <cp:lastModifiedBy>Sunil Kumar VA</cp:lastModifiedBy>
  <cp:lastPrinted>2018-08-28T04:31:14Z</cp:lastPrinted>
  <dcterms:created xsi:type="dcterms:W3CDTF">2018-07-20T06:14:53Z</dcterms:created>
  <dcterms:modified xsi:type="dcterms:W3CDTF">2018-08-28T05:30:46Z</dcterms:modified>
</cp:coreProperties>
</file>